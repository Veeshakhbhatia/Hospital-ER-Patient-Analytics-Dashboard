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49673fa5f351a3ec/Desktop/"/>
    </mc:Choice>
  </mc:AlternateContent>
  <xr:revisionPtr revIDLastSave="1958" documentId="8_{314EFD58-1C1A-4C79-B616-E3A7065CABD8}" xr6:coauthVersionLast="47" xr6:coauthVersionMax="47" xr10:uidLastSave="{C1E438BE-F701-4E53-98CE-E384B35A9955}"/>
  <bookViews>
    <workbookView xWindow="-110" yWindow="-110" windowWidth="19420" windowHeight="10300" activeTab="1" xr2:uid="{570FC5A8-21B7-4142-9446-A44EB2824724}"/>
  </bookViews>
  <sheets>
    <sheet name="Pivot Report" sheetId="1" r:id="rId1"/>
    <sheet name="Dashboard" sheetId="2" r:id="rId2"/>
    <sheet name="Trend of ER Room Daily Patient " sheetId="4" r:id="rId3"/>
    <sheet name="Average of Patient Wait Time" sheetId="5" r:id="rId4"/>
    <sheet name="Patient Satisfaction Score"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3a91e0e-5bf8-4aa5-90ea-a1ec5e5af81f" name="Hospital Emergency Room Data" connection="Query - Hospital Emergency Room Data"/>
          <x15:modelTable id="Calender_7602ee79-b69e-46bd-afe5-36c2b4880207"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5" i="1" l="1" a="1"/>
  <c r="A45" i="1" s="1"/>
  <c r="A44" i="1" a="1"/>
  <c r="A4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9C6C2-4FC5-40BE-90A7-DF8CACC06BDC}" name="Query - Calender" description="Connection to the 'Calender' query in the workbook." type="100" refreshedVersion="8" minRefreshableVersion="5">
    <extLst>
      <ext xmlns:x15="http://schemas.microsoft.com/office/spreadsheetml/2010/11/main" uri="{DE250136-89BD-433C-8126-D09CA5730AF9}">
        <x15:connection id="1279d316-f1f9-4e50-8047-465d904bf6e9"/>
      </ext>
    </extLst>
  </connection>
  <connection id="2" xr16:uid="{A1240FB0-746B-4F4A-BAC3-45BC75F0D54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8014000-eba7-4242-aac9-739bdfbbe8dc"/>
      </ext>
    </extLst>
  </connection>
  <connection id="3" xr16:uid="{E1D0CD66-C1AC-4929-9792-0B78BA5B5B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<sst xmlns="http://schemas.openxmlformats.org/spreadsheetml/2006/main" count="155" uniqueCount="75">
  <si>
    <t>Distinct Count of Patient Id</t>
  </si>
  <si>
    <t>No of Patient</t>
  </si>
  <si>
    <t>Average of Patient Waittime</t>
  </si>
  <si>
    <t>Average of Patient Satisfaction Score</t>
  </si>
  <si>
    <t>Row Labels</t>
  </si>
  <si>
    <t>Grand Total</t>
  </si>
  <si>
    <t>Trend of ER Room Daily Patient</t>
  </si>
  <si>
    <t>Average Weight Time</t>
  </si>
  <si>
    <t>Average Patient Satisfaction Score</t>
  </si>
  <si>
    <t>Count of Patient Admission Flag</t>
  </si>
  <si>
    <t>Admitted</t>
  </si>
  <si>
    <t>Not Admitted</t>
  </si>
  <si>
    <t>Count of Patient Admission Flag2</t>
  </si>
  <si>
    <t>Admissiion Status</t>
  </si>
  <si>
    <t>Percentage Status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</si>
  <si>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</si>
  <si>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</si>
  <si>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</si>
  <si>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</si>
  <si>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</si>
  <si>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</si>
  <si>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</si>
  <si>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</si>
  <si>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</si>
  <si>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</si>
  <si>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</si>
  <si>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</si>
  <si>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</si>
  <si>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</si>
  <si>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</si>
  <si>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</si>
  <si>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</si>
  <si>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</si>
  <si>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</si>
  <si>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</si>
  <si>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</si>
  <si>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</si>
  <si>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</si>
  <si>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</si>
  <si>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</si>
  <si>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</si>
  <si>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</si>
  <si>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</si>
  <si>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</si>
  <si>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</si>
  <si>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0-09</t>
  </si>
  <si>
    <t>10-19</t>
  </si>
  <si>
    <t>20-29</t>
  </si>
  <si>
    <t>30-39</t>
  </si>
  <si>
    <t>40-49</t>
  </si>
  <si>
    <t>50-59</t>
  </si>
  <si>
    <t>60-69</t>
  </si>
  <si>
    <t>70-79</t>
  </si>
  <si>
    <t>Count of Age Group</t>
  </si>
  <si>
    <t>Age Group Wise Analysis</t>
  </si>
  <si>
    <t>Delay</t>
  </si>
  <si>
    <t>On Time</t>
  </si>
  <si>
    <t>Count of Patient Attend Status</t>
  </si>
  <si>
    <t>Patient Attended Time Status</t>
  </si>
  <si>
    <t>Count of Patient Gender</t>
  </si>
  <si>
    <t>Female</t>
  </si>
  <si>
    <t>Male</t>
  </si>
  <si>
    <t>Gender Wise Analysis</t>
  </si>
  <si>
    <t>Cardiology</t>
  </si>
  <si>
    <t>Gastroenterology</t>
  </si>
  <si>
    <t>General Practice</t>
  </si>
  <si>
    <t>Neurology</t>
  </si>
  <si>
    <t>None</t>
  </si>
  <si>
    <t>Orthopedics</t>
  </si>
  <si>
    <t>Physiotherapy</t>
  </si>
  <si>
    <t>Renal</t>
  </si>
  <si>
    <t>Count of Department Referral</t>
  </si>
  <si>
    <t>No of Patient by Department Referal</t>
  </si>
  <si>
    <t>2024</t>
  </si>
  <si>
    <t>Year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</si>
</sst>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2"/>
      <color rgb="FF000000"/>
      <name val="Calibri"/>
      <family val="2"/>
      <scheme val="minor"/>
    </font>
    <font>
      <sz val="11"/>
      <color rgb="FF3B3838"/>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4" borderId="0" xfId="0" applyFill="1" applyAlignment="1">
      <alignment horizontal="center" vertical="center"/>
    </xf>
    <xf numFmtId="0" fontId="0" fillId="4" borderId="0" xfId="0" applyFill="1" applyAlignment="1">
      <alignment horizontal="center" vertical="top"/>
    </xf>
    <xf numFmtId="0" fontId="0" fillId="4" borderId="0" xfId="0" applyFill="1" applyAlignment="1">
      <alignment vertical="top"/>
    </xf>
    <xf numFmtId="0" fontId="0" fillId="5" borderId="0" xfId="0" applyFill="1" applyAlignment="1">
      <alignment vertical="center"/>
    </xf>
    <xf numFmtId="0" fontId="0" fillId="5" borderId="0" xfId="0" applyFill="1" applyAlignment="1">
      <alignment horizontal="center" vertical="center"/>
    </xf>
    <xf numFmtId="9" fontId="0" fillId="5" borderId="0" xfId="1" applyFont="1" applyFill="1" applyAlignment="1">
      <alignment horizontal="center" vertical="center"/>
    </xf>
    <xf numFmtId="0" fontId="3" fillId="3" borderId="0" xfId="0" applyFont="1" applyFill="1" applyAlignment="1">
      <alignment horizontal="center" vertical="center"/>
    </xf>
    <xf numFmtId="0" fontId="0" fillId="3" borderId="0" xfId="0" applyFill="1" applyAlignment="1">
      <alignment horizontal="center"/>
    </xf>
    <xf numFmtId="0" fontId="2" fillId="3" borderId="0" xfId="0" applyFont="1" applyFill="1" applyAlignment="1">
      <alignment horizontal="center" vertical="center"/>
    </xf>
  </cellXfs>
  <cellStyles count="2">
    <cellStyle name="Normal" xfId="0" builtinId="0"/>
    <cellStyle name="Percent" xfId="1" builtinId="5"/>
  </cellStyles>
  <dxfs count="17">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A47FDF0D-3262-447F-94F3-031A2B05DCA7}">
      <tableStyleElement type="wholeTable" dxfId="16"/>
      <tableStyleElement type="headerRow" dxfId="15"/>
    </tableStyle>
  </tableStyles>
  <colors>
    <mruColors>
      <color rgb="FFF77D89"/>
      <color rgb="FFC5E9AF"/>
      <color rgb="FFFAA8B0"/>
      <color rgb="FF609ED6"/>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openxmlformats.org/officeDocument/2006/relationships/theme" Target="theme/them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Report!PivotTable8</c:name>
    <c:fmtId val="0"/>
  </c:pivotSource>
  <c:chart>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none" lIns="0" tIns="0" rIns="0" bIns="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none" lIns="0" tIns="0" rIns="0" bIns="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dLbl>
          <c:idx val="0"/>
          <c:spPr>
            <a:noFill/>
            <a:ln>
              <a:noFill/>
            </a:ln>
            <a:effectLst/>
          </c:spPr>
          <c:txPr>
            <a:bodyPr rot="0" spcFirstLastPara="1" vertOverflow="ellipsis" vert="horz" wrap="none" lIns="0" tIns="0" rIns="0" bIns="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2.5535401192259877E-2"/>
          <c:y val="0.13128188976377952"/>
          <c:w val="0.95940033966342431"/>
          <c:h val="0.83882783882783885"/>
        </c:manualLayout>
      </c:layout>
      <c:barChart>
        <c:barDir val="bar"/>
        <c:grouping val="clustered"/>
        <c:varyColors val="0"/>
        <c:ser>
          <c:idx val="0"/>
          <c:order val="0"/>
          <c:tx>
            <c:strRef>
              <c:f>'Pivot Report'!$B$38</c:f>
              <c:strCache>
                <c:ptCount val="1"/>
                <c:pt idx="0">
                  <c:v>Count of Patient Admission Flag</c:v>
                </c:pt>
              </c:strCache>
            </c:strRef>
          </c:tx>
          <c:spPr>
            <a:solidFill>
              <a:schemeClr val="accent5">
                <a:lumMod val="60000"/>
                <a:lumOff val="40000"/>
              </a:schemeClr>
            </a:solidFill>
            <a:ln>
              <a:noFill/>
            </a:ln>
            <a:effectLst/>
          </c:spPr>
          <c:invertIfNegative val="0"/>
          <c:dLbls>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BDA0-40F8-9717-C7028AC975C5}"/>
                </c:ext>
              </c:extLst>
            </c:dLbl>
            <c:dLbl>
              <c:idx val="1"/>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BDA0-40F8-9717-C7028AC975C5}"/>
                </c:ext>
              </c:extLst>
            </c:dLbl>
            <c:spPr>
              <a:noFill/>
              <a:ln>
                <a:noFill/>
              </a:ln>
              <a:effectLst/>
            </c:spPr>
            <c:txPr>
              <a:bodyPr rot="0" spcFirstLastPara="1" vertOverflow="ellipsis" vert="horz" wrap="none" lIns="0" tIns="0" rIns="0" bIns="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Report'!$A$39:$A$41</c:f>
              <c:strCache>
                <c:ptCount val="2"/>
                <c:pt idx="0">
                  <c:v>Admitted</c:v>
                </c:pt>
                <c:pt idx="1">
                  <c:v>Not Admitted</c:v>
                </c:pt>
              </c:strCache>
            </c:strRef>
          </c:cat>
          <c:val>
            <c:numRef>
              <c:f>'Pivot Report'!$B$39:$B$41</c:f>
              <c:numCache>
                <c:formatCode>0</c:formatCode>
                <c:ptCount val="2"/>
                <c:pt idx="0">
                  <c:v>235</c:v>
                </c:pt>
                <c:pt idx="1">
                  <c:v>250</c:v>
                </c:pt>
              </c:numCache>
            </c:numRef>
          </c:val>
          <c:extLst>
            <c:ext xmlns:c16="http://schemas.microsoft.com/office/drawing/2014/chart" uri="{C3380CC4-5D6E-409C-BE32-E72D297353CC}">
              <c16:uniqueId val="{00000003-FF74-4B70-A16E-29BF204F47C6}"/>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0.4845360824742268</c:v>
                </c:pt>
                <c:pt idx="1">
                  <c:v>0.51546391752577314</c:v>
                </c:pt>
              </c:numCache>
            </c:numRef>
          </c:val>
          <c:extLst>
            <c:ext xmlns:c16="http://schemas.microsoft.com/office/drawing/2014/chart" uri="{C3380CC4-5D6E-409C-BE32-E72D297353CC}">
              <c16:uniqueId val="{00000004-FF74-4B70-A16E-29BF204F47C6}"/>
            </c:ext>
          </c:extLst>
        </c:ser>
        <c:dLbls>
          <c:showLegendKey val="0"/>
          <c:showVal val="0"/>
          <c:showCatName val="0"/>
          <c:showSerName val="0"/>
          <c:showPercent val="0"/>
          <c:showBubbleSize val="0"/>
        </c:dLbls>
        <c:gapWidth val="50"/>
        <c:axId val="764966143"/>
        <c:axId val="879828463"/>
      </c:barChart>
      <c:catAx>
        <c:axId val="764966143"/>
        <c:scaling>
          <c:orientation val="minMax"/>
        </c:scaling>
        <c:delete val="1"/>
        <c:axPos val="l"/>
        <c:numFmt formatCode="General" sourceLinked="1"/>
        <c:majorTickMark val="none"/>
        <c:minorTickMark val="none"/>
        <c:tickLblPos val="nextTo"/>
        <c:crossAx val="879828463"/>
        <c:crosses val="autoZero"/>
        <c:auto val="1"/>
        <c:lblAlgn val="ctr"/>
        <c:lblOffset val="100"/>
        <c:noMultiLvlLbl val="0"/>
      </c:catAx>
      <c:valAx>
        <c:axId val="879828463"/>
        <c:scaling>
          <c:orientation val="minMax"/>
        </c:scaling>
        <c:delete val="1"/>
        <c:axPos val="b"/>
        <c:numFmt formatCode="0" sourceLinked="1"/>
        <c:majorTickMark val="none"/>
        <c:minorTickMark val="none"/>
        <c:tickLblPos val="nextTo"/>
        <c:crossAx val="76496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Report!PivotTable7</c:name>
    <c:fmtId val="1"/>
  </c:pivotSource>
  <c:chart>
    <c:autoTitleDeleted val="1"/>
    <c:pivotFmts>
      <c:pivotFmt>
        <c:idx val="0"/>
        <c:spPr>
          <a:solidFill>
            <a:srgbClr val="609E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Report'!$B$48</c:f>
              <c:strCache>
                <c:ptCount val="1"/>
                <c:pt idx="0">
                  <c:v>Total</c:v>
                </c:pt>
              </c:strCache>
            </c:strRef>
          </c:tx>
          <c:spPr>
            <a:solidFill>
              <a:srgbClr val="609ED6"/>
            </a:solidFill>
            <a:ln>
              <a:noFill/>
            </a:ln>
            <a:effectLst/>
          </c:spPr>
          <c:invertIfNegative val="0"/>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B999-486E-A924-AC9119258115}"/>
            </c:ext>
          </c:extLst>
        </c:ser>
        <c:dLbls>
          <c:showLegendKey val="0"/>
          <c:showVal val="0"/>
          <c:showCatName val="0"/>
          <c:showSerName val="0"/>
          <c:showPercent val="0"/>
          <c:showBubbleSize val="0"/>
        </c:dLbls>
        <c:gapWidth val="219"/>
        <c:overlap val="-27"/>
        <c:axId val="1431129279"/>
        <c:axId val="2002808847"/>
      </c:barChart>
      <c:catAx>
        <c:axId val="14311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08847"/>
        <c:crosses val="autoZero"/>
        <c:auto val="1"/>
        <c:lblAlgn val="ctr"/>
        <c:lblOffset val="100"/>
        <c:noMultiLvlLbl val="0"/>
      </c:catAx>
      <c:valAx>
        <c:axId val="2002808847"/>
        <c:scaling>
          <c:orientation val="minMax"/>
        </c:scaling>
        <c:delete val="1"/>
        <c:axPos val="l"/>
        <c:numFmt formatCode="0" sourceLinked="1"/>
        <c:majorTickMark val="none"/>
        <c:minorTickMark val="none"/>
        <c:tickLblPos val="nextTo"/>
        <c:crossAx val="143112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Report'!$H$39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0-4C22-A27E-B09356A7F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B0-4C22-A27E-B09356A7FDE5}"/>
              </c:ext>
            </c:extLst>
          </c:dPt>
          <c:cat>
            <c:strRef>
              <c:f>'Pivot Report'!$G$40:$G$42</c:f>
              <c:strCache>
                <c:ptCount val="2"/>
                <c:pt idx="0">
                  <c:v>Delay</c:v>
                </c:pt>
                <c:pt idx="1">
                  <c:v>On Time</c:v>
                </c:pt>
              </c:strCache>
            </c:strRef>
          </c:cat>
          <c:val>
            <c:numRef>
              <c:f>'Pivot Report'!$H$40:$H$42</c:f>
              <c:numCache>
                <c:formatCode>0</c:formatCode>
                <c:ptCount val="2"/>
                <c:pt idx="0">
                  <c:v>297</c:v>
                </c:pt>
                <c:pt idx="1">
                  <c:v>188</c:v>
                </c:pt>
              </c:numCache>
            </c:numRef>
          </c:val>
          <c:extLst>
            <c:ext xmlns:c16="http://schemas.microsoft.com/office/drawing/2014/chart" uri="{C3380CC4-5D6E-409C-BE32-E72D297353CC}">
              <c16:uniqueId val="{00000003-7613-4432-9971-B213AD12E4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Report!PivotTable10</c:name>
    <c:fmtId val="1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Report'!$K$39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11-441E-B10C-4D8D2F47487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11-441E-B10C-4D8D2F4748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Report'!$J$40:$J$42</c:f>
              <c:strCache>
                <c:ptCount val="2"/>
                <c:pt idx="0">
                  <c:v>Female</c:v>
                </c:pt>
                <c:pt idx="1">
                  <c:v>Male</c:v>
                </c:pt>
              </c:strCache>
            </c:strRef>
          </c:cat>
          <c:val>
            <c:numRef>
              <c:f>'Pivot Report'!$K$40:$K$42</c:f>
              <c:numCache>
                <c:formatCode>0.00</c:formatCode>
                <c:ptCount val="2"/>
                <c:pt idx="0">
                  <c:v>239</c:v>
                </c:pt>
                <c:pt idx="1">
                  <c:v>246</c:v>
                </c:pt>
              </c:numCache>
            </c:numRef>
          </c:val>
          <c:extLst>
            <c:ext xmlns:c16="http://schemas.microsoft.com/office/drawing/2014/chart" uri="{C3380CC4-5D6E-409C-BE32-E72D297353CC}">
              <c16:uniqueId val="{00000003-401D-42D3-B595-80E9C1D9694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Report'!$B$60</c:f>
              <c:strCache>
                <c:ptCount val="1"/>
                <c:pt idx="0">
                  <c:v>Total</c:v>
                </c:pt>
              </c:strCache>
            </c:strRef>
          </c:tx>
          <c:spPr>
            <a:solidFill>
              <a:schemeClr val="accent1"/>
            </a:solidFill>
            <a:ln>
              <a:noFill/>
            </a:ln>
            <a:effectLst/>
          </c:spPr>
          <c:invertIfNegative val="0"/>
          <c:cat>
            <c:strRef>
              <c:f>'Pivot Report'!$A$61:$A$69</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Report'!$B$61:$B$69</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7EB2-4DC1-B5E6-7348768A07FF}"/>
            </c:ext>
          </c:extLst>
        </c:ser>
        <c:dLbls>
          <c:showLegendKey val="0"/>
          <c:showVal val="0"/>
          <c:showCatName val="0"/>
          <c:showSerName val="0"/>
          <c:showPercent val="0"/>
          <c:showBubbleSize val="0"/>
        </c:dLbls>
        <c:gapWidth val="182"/>
        <c:axId val="1462972495"/>
        <c:axId val="2085665551"/>
      </c:barChart>
      <c:catAx>
        <c:axId val="146297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65551"/>
        <c:crosses val="autoZero"/>
        <c:auto val="1"/>
        <c:lblAlgn val="ctr"/>
        <c:lblOffset val="100"/>
        <c:noMultiLvlLbl val="0"/>
      </c:catAx>
      <c:valAx>
        <c:axId val="2085665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7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62561627484625E-3"/>
          <c:y val="0.14432235194550236"/>
          <c:w val="0.99594374383725159"/>
          <c:h val="0.85567764805449753"/>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7789-4EB8-B426-983927B86DC6}"/>
            </c:ext>
          </c:extLst>
        </c:ser>
        <c:dLbls>
          <c:showLegendKey val="0"/>
          <c:showVal val="0"/>
          <c:showCatName val="0"/>
          <c:showSerName val="0"/>
          <c:showPercent val="0"/>
          <c:showBubbleSize val="0"/>
        </c:dLbls>
        <c:axId val="1961139727"/>
        <c:axId val="1124187567"/>
      </c:areaChart>
      <c:catAx>
        <c:axId val="1961139727"/>
        <c:scaling>
          <c:orientation val="minMax"/>
        </c:scaling>
        <c:delete val="1"/>
        <c:axPos val="b"/>
        <c:numFmt formatCode="General" sourceLinked="1"/>
        <c:majorTickMark val="out"/>
        <c:minorTickMark val="none"/>
        <c:tickLblPos val="nextTo"/>
        <c:crossAx val="1124187567"/>
        <c:crosses val="autoZero"/>
        <c:auto val="1"/>
        <c:lblAlgn val="ctr"/>
        <c:lblOffset val="100"/>
        <c:noMultiLvlLbl val="0"/>
      </c:catAx>
      <c:valAx>
        <c:axId val="1124187567"/>
        <c:scaling>
          <c:orientation val="minMax"/>
        </c:scaling>
        <c:delete val="1"/>
        <c:axPos val="l"/>
        <c:numFmt formatCode="General" sourceLinked="1"/>
        <c:majorTickMark val="none"/>
        <c:minorTickMark val="none"/>
        <c:tickLblPos val="nextTo"/>
        <c:crossAx val="1961139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47414614574452E-2"/>
          <c:y val="0.21861168669705761"/>
          <c:w val="0.98855258538542556"/>
          <c:h val="0.78138831330294245"/>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28DD-4C17-8C4D-AE866C0759B0}"/>
            </c:ext>
          </c:extLst>
        </c:ser>
        <c:dLbls>
          <c:showLegendKey val="0"/>
          <c:showVal val="0"/>
          <c:showCatName val="0"/>
          <c:showSerName val="0"/>
          <c:showPercent val="0"/>
          <c:showBubbleSize val="0"/>
        </c:dLbls>
        <c:axId val="1734812960"/>
        <c:axId val="1523439824"/>
      </c:areaChart>
      <c:catAx>
        <c:axId val="1734812960"/>
        <c:scaling>
          <c:orientation val="minMax"/>
        </c:scaling>
        <c:delete val="1"/>
        <c:axPos val="b"/>
        <c:numFmt formatCode="General" sourceLinked="1"/>
        <c:majorTickMark val="out"/>
        <c:minorTickMark val="none"/>
        <c:tickLblPos val="nextTo"/>
        <c:crossAx val="1523439824"/>
        <c:crosses val="autoZero"/>
        <c:auto val="1"/>
        <c:lblAlgn val="ctr"/>
        <c:lblOffset val="100"/>
        <c:noMultiLvlLbl val="0"/>
      </c:catAx>
      <c:valAx>
        <c:axId val="1523439824"/>
        <c:scaling>
          <c:orientation val="minMax"/>
        </c:scaling>
        <c:delete val="1"/>
        <c:axPos val="l"/>
        <c:numFmt formatCode="0.00" sourceLinked="1"/>
        <c:majorTickMark val="none"/>
        <c:minorTickMark val="none"/>
        <c:tickLblPos val="nextTo"/>
        <c:crossAx val="173481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78136200716845E-3"/>
          <c:y val="0"/>
          <c:w val="0.99866238425948028"/>
          <c:h val="0.94011755938954666"/>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ECA2-4FAF-90FA-1B77539AA249}"/>
            </c:ext>
          </c:extLst>
        </c:ser>
        <c:dLbls>
          <c:showLegendKey val="0"/>
          <c:showVal val="0"/>
          <c:showCatName val="0"/>
          <c:showSerName val="0"/>
          <c:showPercent val="0"/>
          <c:showBubbleSize val="0"/>
        </c:dLbls>
        <c:axId val="1682581120"/>
        <c:axId val="1483161392"/>
      </c:areaChart>
      <c:catAx>
        <c:axId val="1682581120"/>
        <c:scaling>
          <c:orientation val="minMax"/>
        </c:scaling>
        <c:delete val="1"/>
        <c:axPos val="b"/>
        <c:numFmt formatCode="General" sourceLinked="1"/>
        <c:majorTickMark val="out"/>
        <c:minorTickMark val="none"/>
        <c:tickLblPos val="nextTo"/>
        <c:crossAx val="1483161392"/>
        <c:crosses val="autoZero"/>
        <c:auto val="1"/>
        <c:lblAlgn val="ctr"/>
        <c:lblOffset val="100"/>
        <c:noMultiLvlLbl val="0"/>
      </c:catAx>
      <c:valAx>
        <c:axId val="1483161392"/>
        <c:scaling>
          <c:orientation val="minMax"/>
        </c:scaling>
        <c:delete val="1"/>
        <c:axPos val="l"/>
        <c:numFmt formatCode="0.00" sourceLinked="1"/>
        <c:majorTickMark val="none"/>
        <c:minorTickMark val="none"/>
        <c:tickLblPos val="nextTo"/>
        <c:crossAx val="1682581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Report!PivotTable7</c:name>
    <c:fmtId val="3"/>
  </c:pivotSource>
  <c:chart>
    <c:title>
      <c:tx>
        <c:rich>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r>
              <a:rPr lang="en-IN" sz="400">
                <a:solidFill>
                  <a:schemeClr val="bg2">
                    <a:lumMod val="25000"/>
                  </a:schemeClr>
                </a:solidFill>
              </a:rPr>
              <a:t>No</a:t>
            </a:r>
            <a:r>
              <a:rPr lang="en-IN" sz="400" baseline="0">
                <a:solidFill>
                  <a:schemeClr val="bg2">
                    <a:lumMod val="25000"/>
                  </a:schemeClr>
                </a:solidFill>
              </a:rPr>
              <a:t> of Patient by age group</a:t>
            </a:r>
          </a:p>
        </c:rich>
      </c:tx>
      <c:layout>
        <c:manualLayout>
          <c:xMode val="edge"/>
          <c:yMode val="edge"/>
          <c:x val="0.44751674310508832"/>
          <c:y val="0.8257630645191254"/>
        </c:manualLayout>
      </c:layout>
      <c:overlay val="0"/>
      <c:spPr>
        <a:noFill/>
        <a:ln>
          <a:noFill/>
        </a:ln>
        <a:effectLst>
          <a:outerShdw blurRad="50800" dist="50800" dir="5400000" algn="ctr" rotWithShape="0">
            <a:srgbClr val="000000">
              <a:alpha val="0"/>
            </a:srgbClr>
          </a:outerShdw>
        </a:effectLst>
      </c:spPr>
      <c:txPr>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09ED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609ED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609E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05428358472069E-2"/>
          <c:y val="1.9661025345693462E-2"/>
          <c:w val="0.91358914328305585"/>
          <c:h val="0.67012205316836659"/>
        </c:manualLayout>
      </c:layout>
      <c:barChart>
        <c:barDir val="col"/>
        <c:grouping val="clustered"/>
        <c:varyColors val="0"/>
        <c:ser>
          <c:idx val="0"/>
          <c:order val="0"/>
          <c:tx>
            <c:strRef>
              <c:f>'Pivot Report'!$B$48</c:f>
              <c:strCache>
                <c:ptCount val="1"/>
                <c:pt idx="0">
                  <c:v>Total</c:v>
                </c:pt>
              </c:strCache>
            </c:strRef>
          </c:tx>
          <c:spPr>
            <a:solidFill>
              <a:srgbClr val="609E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5-C246-4F1F-905D-FFFA1B6B4832}"/>
            </c:ext>
          </c:extLst>
        </c:ser>
        <c:dLbls>
          <c:dLblPos val="outEnd"/>
          <c:showLegendKey val="0"/>
          <c:showVal val="1"/>
          <c:showCatName val="0"/>
          <c:showSerName val="0"/>
          <c:showPercent val="0"/>
          <c:showBubbleSize val="0"/>
        </c:dLbls>
        <c:gapWidth val="219"/>
        <c:overlap val="-27"/>
        <c:axId val="1431129279"/>
        <c:axId val="2002808847"/>
      </c:barChart>
      <c:catAx>
        <c:axId val="14311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002808847"/>
        <c:crosses val="autoZero"/>
        <c:auto val="1"/>
        <c:lblAlgn val="ctr"/>
        <c:lblOffset val="100"/>
        <c:noMultiLvlLbl val="0"/>
      </c:catAx>
      <c:valAx>
        <c:axId val="2002808847"/>
        <c:scaling>
          <c:orientation val="minMax"/>
        </c:scaling>
        <c:delete val="1"/>
        <c:axPos val="l"/>
        <c:numFmt formatCode="0" sourceLinked="1"/>
        <c:majorTickMark val="none"/>
        <c:minorTickMark val="none"/>
        <c:tickLblPos val="nextTo"/>
        <c:crossAx val="143112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301882660061458"/>
          <c:y val="0.16887055581692317"/>
          <c:w val="0.68317621106153981"/>
          <c:h val="0.81922051301517407"/>
        </c:manualLayout>
      </c:layout>
      <c:pieChart>
        <c:varyColors val="1"/>
        <c:ser>
          <c:idx val="0"/>
          <c:order val="0"/>
          <c:tx>
            <c:strRef>
              <c:f>'Pivot Report'!$H$39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190A-4D2B-940F-5EE4004A5A56}"/>
              </c:ext>
            </c:extLst>
          </c:dPt>
          <c:dPt>
            <c:idx val="1"/>
            <c:bubble3D val="0"/>
            <c:spPr>
              <a:solidFill>
                <a:schemeClr val="accent2"/>
              </a:solidFill>
              <a:ln>
                <a:noFill/>
              </a:ln>
              <a:effectLst/>
            </c:spPr>
            <c:extLst>
              <c:ext xmlns:c16="http://schemas.microsoft.com/office/drawing/2014/chart" uri="{C3380CC4-5D6E-409C-BE32-E72D297353CC}">
                <c16:uniqueId val="{0000000A-0A31-4FF6-9DC4-A1CB40CBE35E}"/>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Report'!$G$40:$G$42</c:f>
              <c:strCache>
                <c:ptCount val="2"/>
                <c:pt idx="0">
                  <c:v>Delay</c:v>
                </c:pt>
                <c:pt idx="1">
                  <c:v>On Time</c:v>
                </c:pt>
              </c:strCache>
            </c:strRef>
          </c:cat>
          <c:val>
            <c:numRef>
              <c:f>'Pivot Report'!$H$40:$H$42</c:f>
              <c:numCache>
                <c:formatCode>0</c:formatCode>
                <c:ptCount val="2"/>
                <c:pt idx="0">
                  <c:v>297</c:v>
                </c:pt>
                <c:pt idx="1">
                  <c:v>188</c:v>
                </c:pt>
              </c:numCache>
            </c:numRef>
          </c:val>
          <c:extLst>
            <c:ext xmlns:c16="http://schemas.microsoft.com/office/drawing/2014/chart" uri="{C3380CC4-5D6E-409C-BE32-E72D297353CC}">
              <c16:uniqueId val="{00000007-0A31-4FF6-9DC4-A1CB40CBE3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5518611931602625E-2"/>
          <c:y val="3.8270447348929468E-3"/>
          <c:w val="0.95355954187197256"/>
          <c:h val="0.17672053398803503"/>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Report!PivotTable10</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overflow" horzOverflow="overflow" vert="horz" wrap="none" lIns="0" tIns="0" rIns="0" bIns="0" anchor="ctr" anchorCtr="1">
              <a:spAutoFit/>
            </a:bodyPr>
            <a:lstStyle/>
            <a:p>
              <a:pPr>
                <a:defRPr sz="500" b="1" i="0" u="none" strike="noStrike" kern="1200" baseline="0">
                  <a:solidFill>
                    <a:schemeClr val="lt1"/>
                  </a:solidFill>
                  <a:effectLst>
                    <a:outerShdw blurRad="50800" dist="50800" dir="2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753255032538344"/>
          <c:y val="0.22327047063152819"/>
          <c:w val="0.69638203672606602"/>
          <c:h val="0.76557566666286092"/>
        </c:manualLayout>
      </c:layout>
      <c:doughnutChart>
        <c:varyColors val="1"/>
        <c:ser>
          <c:idx val="0"/>
          <c:order val="0"/>
          <c:tx>
            <c:strRef>
              <c:f>'Pivot Report'!$K$39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E2-4034-A543-900CD3CE693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E2-4034-A543-900CD3CE6935}"/>
              </c:ext>
            </c:extLst>
          </c:dPt>
          <c:dLbls>
            <c:spPr>
              <a:noFill/>
              <a:ln w="9525">
                <a:noFill/>
              </a:ln>
              <a:effectLst/>
            </c:spPr>
            <c:txPr>
              <a:bodyPr rot="0" spcFirstLastPara="1" vertOverflow="overflow" horzOverflow="overflow" vert="horz" wrap="none" lIns="0" tIns="0" rIns="0" bIns="0" anchor="ctr" anchorCtr="1">
                <a:spAutoFit/>
              </a:bodyPr>
              <a:lstStyle/>
              <a:p>
                <a:pPr>
                  <a:defRPr sz="500" b="1" i="0" u="none" strike="noStrike" kern="1200" baseline="0">
                    <a:solidFill>
                      <a:schemeClr val="lt1"/>
                    </a:solidFill>
                    <a:effectLst>
                      <a:outerShdw blurRad="50800" dist="50800" dir="2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Report'!$J$40:$J$42</c:f>
              <c:strCache>
                <c:ptCount val="2"/>
                <c:pt idx="0">
                  <c:v>Female</c:v>
                </c:pt>
                <c:pt idx="1">
                  <c:v>Male</c:v>
                </c:pt>
              </c:strCache>
            </c:strRef>
          </c:cat>
          <c:val>
            <c:numRef>
              <c:f>'Pivot Report'!$K$40:$K$42</c:f>
              <c:numCache>
                <c:formatCode>0.00</c:formatCode>
                <c:ptCount val="2"/>
                <c:pt idx="0">
                  <c:v>239</c:v>
                </c:pt>
                <c:pt idx="1">
                  <c:v>246</c:v>
                </c:pt>
              </c:numCache>
            </c:numRef>
          </c:val>
          <c:extLst>
            <c:ext xmlns:c16="http://schemas.microsoft.com/office/drawing/2014/chart" uri="{C3380CC4-5D6E-409C-BE32-E72D297353CC}">
              <c16:uniqueId val="{00000007-1F07-426C-9522-85E6AAC8FC0A}"/>
            </c:ext>
          </c:extLst>
        </c:ser>
        <c:dLbls>
          <c:showLegendKey val="0"/>
          <c:showVal val="0"/>
          <c:showCatName val="0"/>
          <c:showSerName val="0"/>
          <c:showPercent val="1"/>
          <c:showBubbleSize val="0"/>
          <c:showLeaderLines val="1"/>
        </c:dLbls>
        <c:firstSliceAng val="0"/>
        <c:holeSize val="52"/>
      </c:doughnutChart>
      <c:spPr>
        <a:noFill/>
        <a:ln>
          <a:noFill/>
        </a:ln>
        <a:effectLst/>
      </c:spPr>
    </c:plotArea>
    <c:legend>
      <c:legendPos val="t"/>
      <c:layout>
        <c:manualLayout>
          <c:xMode val="edge"/>
          <c:yMode val="edge"/>
          <c:x val="5.0000301115935661E-2"/>
          <c:y val="1.7938157143906393E-2"/>
          <c:w val="0.89999939776812865"/>
          <c:h val="0.177141420476053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Report!PivotTable11</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609ED6"/>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1668038121189462"/>
          <c:y val="0.11660212234225202"/>
          <c:w val="0.64141066608108976"/>
          <c:h val="0.75067731544808725"/>
        </c:manualLayout>
      </c:layout>
      <c:barChart>
        <c:barDir val="bar"/>
        <c:grouping val="clustered"/>
        <c:varyColors val="0"/>
        <c:ser>
          <c:idx val="0"/>
          <c:order val="0"/>
          <c:tx>
            <c:strRef>
              <c:f>'Pivot Report'!$B$60</c:f>
              <c:strCache>
                <c:ptCount val="1"/>
                <c:pt idx="0">
                  <c:v>Total</c:v>
                </c:pt>
              </c:strCache>
            </c:strRef>
          </c:tx>
          <c:spPr>
            <a:solidFill>
              <a:srgbClr val="609ED6"/>
            </a:solidFill>
            <a:ln>
              <a:noFill/>
            </a:ln>
            <a:effectLst/>
          </c:spPr>
          <c:invertIfNegative val="0"/>
          <c:dLbls>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Report'!$B$61:$B$69</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B43F-444E-8523-A0ACD7F79221}"/>
            </c:ext>
          </c:extLst>
        </c:ser>
        <c:dLbls>
          <c:showLegendKey val="0"/>
          <c:showVal val="0"/>
          <c:showCatName val="0"/>
          <c:showSerName val="0"/>
          <c:showPercent val="0"/>
          <c:showBubbleSize val="0"/>
        </c:dLbls>
        <c:gapWidth val="30"/>
        <c:axId val="1462972495"/>
        <c:axId val="2085665551"/>
      </c:barChart>
      <c:catAx>
        <c:axId val="146297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85665551"/>
        <c:crosses val="autoZero"/>
        <c:auto val="1"/>
        <c:lblAlgn val="ctr"/>
        <c:lblOffset val="100"/>
        <c:noMultiLvlLbl val="0"/>
      </c:catAx>
      <c:valAx>
        <c:axId val="2085665551"/>
        <c:scaling>
          <c:orientation val="minMax"/>
        </c:scaling>
        <c:delete val="1"/>
        <c:axPos val="b"/>
        <c:numFmt formatCode="0" sourceLinked="1"/>
        <c:majorTickMark val="none"/>
        <c:minorTickMark val="none"/>
        <c:tickLblPos val="nextTo"/>
        <c:crossAx val="146297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Report!PivotTable4</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 of ER Room Daily Patient Visits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C6A8-4C12-B35F-DDBF92223DD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61139727"/>
        <c:axId val="1124187567"/>
      </c:areaChart>
      <c:catAx>
        <c:axId val="19611397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4187567"/>
        <c:crosses val="autoZero"/>
        <c:auto val="1"/>
        <c:lblAlgn val="ctr"/>
        <c:lblOffset val="100"/>
        <c:noMultiLvlLbl val="0"/>
      </c:catAx>
      <c:valAx>
        <c:axId val="1124187567"/>
        <c:scaling>
          <c:orientation val="minMax"/>
        </c:scaling>
        <c:delete val="1"/>
        <c:axPos val="l"/>
        <c:numFmt formatCode="General" sourceLinked="1"/>
        <c:majorTickMark val="out"/>
        <c:minorTickMark val="none"/>
        <c:tickLblPos val="nextTo"/>
        <c:crossAx val="1961139727"/>
        <c:crosses val="autoZero"/>
        <c:crossBetween val="midCat"/>
      </c:valAx>
      <c:spPr>
        <a:solidFill>
          <a:schemeClr val="accent1">
            <a:lumMod val="40000"/>
            <a:lumOff val="6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3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a:t>
            </a:r>
            <a:r>
              <a:rPr lang="en-IN" baseline="0"/>
              <a:t> of patient wait time</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9BFE-40C5-A5D5-7E0CB97C949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34812960"/>
        <c:axId val="1523439824"/>
      </c:areaChart>
      <c:catAx>
        <c:axId val="1734812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3439824"/>
        <c:crosses val="autoZero"/>
        <c:auto val="1"/>
        <c:lblAlgn val="ctr"/>
        <c:lblOffset val="100"/>
        <c:noMultiLvlLbl val="0"/>
      </c:catAx>
      <c:valAx>
        <c:axId val="1523439824"/>
        <c:scaling>
          <c:orientation val="minMax"/>
        </c:scaling>
        <c:delete val="1"/>
        <c:axPos val="l"/>
        <c:numFmt formatCode="0.00" sourceLinked="1"/>
        <c:majorTickMark val="out"/>
        <c:minorTickMark val="none"/>
        <c:tickLblPos val="nextTo"/>
        <c:crossAx val="173481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4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Patient satisfaction score average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6D2A-4C00-9481-478F335BC4D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82581120"/>
        <c:axId val="1483161392"/>
      </c:areaChart>
      <c:catAx>
        <c:axId val="16825811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3161392"/>
        <c:crosses val="autoZero"/>
        <c:auto val="1"/>
        <c:lblAlgn val="ctr"/>
        <c:lblOffset val="100"/>
        <c:noMultiLvlLbl val="0"/>
      </c:catAx>
      <c:valAx>
        <c:axId val="1483161392"/>
        <c:scaling>
          <c:orientation val="minMax"/>
        </c:scaling>
        <c:delete val="1"/>
        <c:axPos val="l"/>
        <c:numFmt formatCode="0.00" sourceLinked="1"/>
        <c:majorTickMark val="out"/>
        <c:minorTickMark val="none"/>
        <c:tickLblPos val="nextTo"/>
        <c:crossAx val="1682581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Trend of ER Room Daily Patient '!A1"/><Relationship Id="rId13" Type="http://schemas.openxmlformats.org/officeDocument/2006/relationships/chart" Target="../charts/chart8.xml"/><Relationship Id="rId1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hyperlink" Target="#'Average of Patient Wait Time'!A1"/><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2"/></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25400</xdr:colOff>
      <xdr:row>43</xdr:row>
      <xdr:rowOff>25400</xdr:rowOff>
    </xdr:from>
    <xdr:to>
      <xdr:col>3</xdr:col>
      <xdr:colOff>1644650</xdr:colOff>
      <xdr:row>44</xdr:row>
      <xdr:rowOff>177800</xdr:rowOff>
    </xdr:to>
    <xdr:graphicFrame macro="">
      <xdr:nvGraphicFramePr>
        <xdr:cNvPr id="2" name="Chart 1">
          <a:extLst>
            <a:ext uri="{FF2B5EF4-FFF2-40B4-BE49-F238E27FC236}">
              <a16:creationId xmlns:a16="http://schemas.microsoft.com/office/drawing/2014/main" id="{DA7F47D5-E080-297E-14B7-C46E05BD9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47</xdr:row>
      <xdr:rowOff>25400</xdr:rowOff>
    </xdr:from>
    <xdr:to>
      <xdr:col>3</xdr:col>
      <xdr:colOff>1651000</xdr:colOff>
      <xdr:row>57</xdr:row>
      <xdr:rowOff>38100</xdr:rowOff>
    </xdr:to>
    <xdr:graphicFrame macro="">
      <xdr:nvGraphicFramePr>
        <xdr:cNvPr id="3" name="Chart 2">
          <a:extLst>
            <a:ext uri="{FF2B5EF4-FFF2-40B4-BE49-F238E27FC236}">
              <a16:creationId xmlns:a16="http://schemas.microsoft.com/office/drawing/2014/main" id="{16A2921C-EB39-58B8-9B7B-8CD85EB9A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25400</xdr:colOff>
      <xdr:row>42</xdr:row>
      <xdr:rowOff>25400</xdr:rowOff>
    </xdr:from>
    <xdr:to>
      <xdr:col>7</xdr:col>
      <xdr:colOff>1695450</xdr:colOff>
      <xdr:row>57</xdr:row>
      <xdr:rowOff>31750</xdr:rowOff>
    </xdr:to>
    <xdr:graphicFrame macro="">
      <xdr:nvGraphicFramePr>
        <xdr:cNvPr id="4" name="Chart 3">
          <a:extLst>
            <a:ext uri="{FF2B5EF4-FFF2-40B4-BE49-F238E27FC236}">
              <a16:creationId xmlns:a16="http://schemas.microsoft.com/office/drawing/2014/main" id="{D491C92B-DBEF-F7D2-ABF2-D6C2B97C9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42</xdr:row>
      <xdr:rowOff>0</xdr:rowOff>
    </xdr:from>
    <xdr:to>
      <xdr:col>10</xdr:col>
      <xdr:colOff>1479550</xdr:colOff>
      <xdr:row>56</xdr:row>
      <xdr:rowOff>158750</xdr:rowOff>
    </xdr:to>
    <xdr:graphicFrame macro="">
      <xdr:nvGraphicFramePr>
        <xdr:cNvPr id="5" name="Chart 4">
          <a:extLst>
            <a:ext uri="{FF2B5EF4-FFF2-40B4-BE49-F238E27FC236}">
              <a16:creationId xmlns:a16="http://schemas.microsoft.com/office/drawing/2014/main" id="{ECCE1FE1-BC91-8A2C-AF17-006D6808D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1828800</xdr:colOff>
      <xdr:row>59</xdr:row>
      <xdr:rowOff>19050</xdr:rowOff>
    </xdr:from>
    <xdr:to>
      <xdr:col>4</xdr:col>
      <xdr:colOff>19050</xdr:colOff>
      <xdr:row>69</xdr:row>
      <xdr:rowOff>44450</xdr:rowOff>
    </xdr:to>
    <xdr:graphicFrame macro="">
      <xdr:nvGraphicFramePr>
        <xdr:cNvPr id="6" name="Chart 5">
          <a:extLst>
            <a:ext uri="{FF2B5EF4-FFF2-40B4-BE49-F238E27FC236}">
              <a16:creationId xmlns:a16="http://schemas.microsoft.com/office/drawing/2014/main" id="{D83F3F54-BE29-9AC9-EC59-C071433FF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6350</xdr:colOff>
      <xdr:row>14</xdr:row>
      <xdr:rowOff>6350</xdr:rowOff>
    </xdr:from>
    <xdr:to>
      <xdr:col>1</xdr:col>
      <xdr:colOff>1803400</xdr:colOff>
      <xdr:row>18</xdr:row>
      <xdr:rowOff>177799</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BC2A71C5-10B3-0141-B59A-5154032B180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79500" y="2584450"/>
              <a:ext cx="1797050" cy="90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18246</xdr:colOff>
      <xdr:row>0</xdr:row>
      <xdr:rowOff>36494</xdr:rowOff>
    </xdr:from>
    <xdr:to>
      <xdr:col>4</xdr:col>
      <xdr:colOff>456178</xdr:colOff>
      <xdr:row>1</xdr:row>
      <xdr:rowOff>160574</xdr:rowOff>
    </xdr:to>
    <xdr:sp macro="" textlink="">
      <xdr:nvSpPr>
        <xdr:cNvPr id="2" name="Rectangle: Rounded Corners 1">
          <a:extLst>
            <a:ext uri="{FF2B5EF4-FFF2-40B4-BE49-F238E27FC236}">
              <a16:creationId xmlns:a16="http://schemas.microsoft.com/office/drawing/2014/main" id="{323C9C58-0EB5-63FB-A20C-53A0D439803D}"/>
            </a:ext>
          </a:extLst>
        </xdr:cNvPr>
        <xdr:cNvSpPr/>
      </xdr:nvSpPr>
      <xdr:spPr>
        <a:xfrm>
          <a:off x="18246" y="36494"/>
          <a:ext cx="2875748" cy="30655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478074</xdr:colOff>
      <xdr:row>0</xdr:row>
      <xdr:rowOff>32846</xdr:rowOff>
    </xdr:from>
    <xdr:to>
      <xdr:col>7</xdr:col>
      <xdr:colOff>62039</xdr:colOff>
      <xdr:row>1</xdr:row>
      <xdr:rowOff>156926</xdr:rowOff>
    </xdr:to>
    <xdr:sp macro="" textlink="">
      <xdr:nvSpPr>
        <xdr:cNvPr id="3" name="Rectangle: Rounded Corners 2">
          <a:extLst>
            <a:ext uri="{FF2B5EF4-FFF2-40B4-BE49-F238E27FC236}">
              <a16:creationId xmlns:a16="http://schemas.microsoft.com/office/drawing/2014/main" id="{5BAF32EF-23F7-DF30-8862-737E6C888D65}"/>
            </a:ext>
          </a:extLst>
        </xdr:cNvPr>
        <xdr:cNvSpPr/>
      </xdr:nvSpPr>
      <xdr:spPr>
        <a:xfrm>
          <a:off x="2915890" y="32846"/>
          <a:ext cx="1412327" cy="306551"/>
        </a:xfrm>
        <a:prstGeom prst="roundRect">
          <a:avLst>
            <a:gd name="adj" fmla="val 107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109483</xdr:colOff>
      <xdr:row>0</xdr:row>
      <xdr:rowOff>32846</xdr:rowOff>
    </xdr:from>
    <xdr:to>
      <xdr:col>8</xdr:col>
      <xdr:colOff>540116</xdr:colOff>
      <xdr:row>4</xdr:row>
      <xdr:rowOff>182471</xdr:rowOff>
    </xdr:to>
    <xdr:sp macro="" textlink="">
      <xdr:nvSpPr>
        <xdr:cNvPr id="4" name="Rectangle: Rounded Corners 3">
          <a:extLst>
            <a:ext uri="{FF2B5EF4-FFF2-40B4-BE49-F238E27FC236}">
              <a16:creationId xmlns:a16="http://schemas.microsoft.com/office/drawing/2014/main" id="{685407A6-A575-95C1-390B-0ADFFE3037AC}"/>
            </a:ext>
          </a:extLst>
        </xdr:cNvPr>
        <xdr:cNvSpPr/>
      </xdr:nvSpPr>
      <xdr:spPr>
        <a:xfrm>
          <a:off x="4375661" y="32846"/>
          <a:ext cx="1040087" cy="879510"/>
        </a:xfrm>
        <a:prstGeom prst="roundRect">
          <a:avLst>
            <a:gd name="adj" fmla="val 297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569310</xdr:colOff>
      <xdr:row>0</xdr:row>
      <xdr:rowOff>29197</xdr:rowOff>
    </xdr:from>
    <xdr:to>
      <xdr:col>10</xdr:col>
      <xdr:colOff>390489</xdr:colOff>
      <xdr:row>4</xdr:row>
      <xdr:rowOff>178822</xdr:rowOff>
    </xdr:to>
    <xdr:sp macro="" textlink="">
      <xdr:nvSpPr>
        <xdr:cNvPr id="5" name="Rectangle: Rounded Corners 4">
          <a:extLst>
            <a:ext uri="{FF2B5EF4-FFF2-40B4-BE49-F238E27FC236}">
              <a16:creationId xmlns:a16="http://schemas.microsoft.com/office/drawing/2014/main" id="{82BEFB68-EC91-F202-1618-45A38DA50028}"/>
            </a:ext>
          </a:extLst>
        </xdr:cNvPr>
        <xdr:cNvSpPr/>
      </xdr:nvSpPr>
      <xdr:spPr>
        <a:xfrm>
          <a:off x="5444942" y="29197"/>
          <a:ext cx="1040087" cy="879510"/>
        </a:xfrm>
        <a:prstGeom prst="roundRect">
          <a:avLst>
            <a:gd name="adj" fmla="val 297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18246</xdr:colOff>
      <xdr:row>2</xdr:row>
      <xdr:rowOff>25546</xdr:rowOff>
    </xdr:from>
    <xdr:to>
      <xdr:col>1</xdr:col>
      <xdr:colOff>419684</xdr:colOff>
      <xdr:row>10</xdr:row>
      <xdr:rowOff>153276</xdr:rowOff>
    </xdr:to>
    <xdr:sp macro="" textlink="">
      <xdr:nvSpPr>
        <xdr:cNvPr id="6" name="Rectangle: Rounded Corners 5">
          <a:extLst>
            <a:ext uri="{FF2B5EF4-FFF2-40B4-BE49-F238E27FC236}">
              <a16:creationId xmlns:a16="http://schemas.microsoft.com/office/drawing/2014/main" id="{CE0EFE13-4C73-3769-4F58-60067D5A2CC0}"/>
            </a:ext>
          </a:extLst>
        </xdr:cNvPr>
        <xdr:cNvSpPr/>
      </xdr:nvSpPr>
      <xdr:spPr>
        <a:xfrm>
          <a:off x="18246" y="390489"/>
          <a:ext cx="1010892" cy="1587500"/>
        </a:xfrm>
        <a:prstGeom prst="roundRect">
          <a:avLst>
            <a:gd name="adj" fmla="val 48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489023</xdr:colOff>
      <xdr:row>2</xdr:row>
      <xdr:rowOff>40141</xdr:rowOff>
    </xdr:from>
    <xdr:to>
      <xdr:col>3</xdr:col>
      <xdr:colOff>240862</xdr:colOff>
      <xdr:row>5</xdr:row>
      <xdr:rowOff>58390</xdr:rowOff>
    </xdr:to>
    <xdr:sp macro="" textlink="">
      <xdr:nvSpPr>
        <xdr:cNvPr id="12" name="Rectangle: Rounded Corners 11">
          <a:extLst>
            <a:ext uri="{FF2B5EF4-FFF2-40B4-BE49-F238E27FC236}">
              <a16:creationId xmlns:a16="http://schemas.microsoft.com/office/drawing/2014/main" id="{1567FC8C-F70A-D5E5-20E3-D14E4FA6C98A}"/>
            </a:ext>
          </a:extLst>
        </xdr:cNvPr>
        <xdr:cNvSpPr/>
      </xdr:nvSpPr>
      <xdr:spPr>
        <a:xfrm>
          <a:off x="1098477" y="405084"/>
          <a:ext cx="970747" cy="565662"/>
        </a:xfrm>
        <a:prstGeom prst="roundRect">
          <a:avLst>
            <a:gd name="adj" fmla="val 2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306864</xdr:colOff>
      <xdr:row>2</xdr:row>
      <xdr:rowOff>32849</xdr:rowOff>
    </xdr:from>
    <xdr:to>
      <xdr:col>5</xdr:col>
      <xdr:colOff>142015</xdr:colOff>
      <xdr:row>5</xdr:row>
      <xdr:rowOff>62041</xdr:rowOff>
    </xdr:to>
    <xdr:sp macro="" textlink="">
      <xdr:nvSpPr>
        <xdr:cNvPr id="13" name="Rectangle: Rounded Corners 12">
          <a:extLst>
            <a:ext uri="{FF2B5EF4-FFF2-40B4-BE49-F238E27FC236}">
              <a16:creationId xmlns:a16="http://schemas.microsoft.com/office/drawing/2014/main" id="{066C8851-77BC-C93F-A350-844D83A9FBBF}"/>
            </a:ext>
          </a:extLst>
        </xdr:cNvPr>
        <xdr:cNvSpPr/>
      </xdr:nvSpPr>
      <xdr:spPr>
        <a:xfrm>
          <a:off x="2135226" y="397792"/>
          <a:ext cx="1054059" cy="576605"/>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215940</xdr:colOff>
      <xdr:row>2</xdr:row>
      <xdr:rowOff>29195</xdr:rowOff>
    </xdr:from>
    <xdr:to>
      <xdr:col>7</xdr:col>
      <xdr:colOff>51091</xdr:colOff>
      <xdr:row>5</xdr:row>
      <xdr:rowOff>62039</xdr:rowOff>
    </xdr:to>
    <xdr:sp macro="" textlink="">
      <xdr:nvSpPr>
        <xdr:cNvPr id="14" name="Rectangle: Rounded Corners 13">
          <a:extLst>
            <a:ext uri="{FF2B5EF4-FFF2-40B4-BE49-F238E27FC236}">
              <a16:creationId xmlns:a16="http://schemas.microsoft.com/office/drawing/2014/main" id="{0C2B752A-B8A9-9794-FEAF-6510DEA3BCF8}"/>
            </a:ext>
          </a:extLst>
        </xdr:cNvPr>
        <xdr:cNvSpPr/>
      </xdr:nvSpPr>
      <xdr:spPr>
        <a:xfrm>
          <a:off x="3263210" y="394138"/>
          <a:ext cx="1054059" cy="580257"/>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481724</xdr:colOff>
      <xdr:row>7</xdr:row>
      <xdr:rowOff>65690</xdr:rowOff>
    </xdr:from>
    <xdr:to>
      <xdr:col>7</xdr:col>
      <xdr:colOff>54742</xdr:colOff>
      <xdr:row>10</xdr:row>
      <xdr:rowOff>146340</xdr:rowOff>
    </xdr:to>
    <xdr:sp macro="" textlink="">
      <xdr:nvSpPr>
        <xdr:cNvPr id="23" name="Rectangle: Rounded Corners 22">
          <a:extLst>
            <a:ext uri="{FF2B5EF4-FFF2-40B4-BE49-F238E27FC236}">
              <a16:creationId xmlns:a16="http://schemas.microsoft.com/office/drawing/2014/main" id="{A3A4EC53-7E5C-3CC4-551B-94DA0B6AF220}"/>
            </a:ext>
          </a:extLst>
        </xdr:cNvPr>
        <xdr:cNvSpPr/>
      </xdr:nvSpPr>
      <xdr:spPr>
        <a:xfrm>
          <a:off x="1091178" y="1342989"/>
          <a:ext cx="3229742" cy="628064"/>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478075</xdr:colOff>
      <xdr:row>5</xdr:row>
      <xdr:rowOff>102184</xdr:rowOff>
    </xdr:from>
    <xdr:to>
      <xdr:col>7</xdr:col>
      <xdr:colOff>58390</xdr:colOff>
      <xdr:row>7</xdr:row>
      <xdr:rowOff>43793</xdr:rowOff>
    </xdr:to>
    <xdr:sp macro="" textlink="">
      <xdr:nvSpPr>
        <xdr:cNvPr id="24" name="Rectangle: Rounded Corners 23">
          <a:extLst>
            <a:ext uri="{FF2B5EF4-FFF2-40B4-BE49-F238E27FC236}">
              <a16:creationId xmlns:a16="http://schemas.microsoft.com/office/drawing/2014/main" id="{4D267509-AABE-839C-E23B-D82A15540BF3}"/>
            </a:ext>
          </a:extLst>
        </xdr:cNvPr>
        <xdr:cNvSpPr/>
      </xdr:nvSpPr>
      <xdr:spPr>
        <a:xfrm>
          <a:off x="1087529" y="1014540"/>
          <a:ext cx="3237039" cy="306552"/>
        </a:xfrm>
        <a:prstGeom prst="roundRect">
          <a:avLst>
            <a:gd name="adj" fmla="val 48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113133</xdr:colOff>
      <xdr:row>5</xdr:row>
      <xdr:rowOff>32846</xdr:rowOff>
    </xdr:from>
    <xdr:to>
      <xdr:col>10</xdr:col>
      <xdr:colOff>379540</xdr:colOff>
      <xdr:row>10</xdr:row>
      <xdr:rowOff>149627</xdr:rowOff>
    </xdr:to>
    <xdr:sp macro="" textlink="">
      <xdr:nvSpPr>
        <xdr:cNvPr id="25" name="Rectangle: Rounded Corners 24">
          <a:extLst>
            <a:ext uri="{FF2B5EF4-FFF2-40B4-BE49-F238E27FC236}">
              <a16:creationId xmlns:a16="http://schemas.microsoft.com/office/drawing/2014/main" id="{45850890-98B0-CCAC-3A34-3D1FC6DFE17F}"/>
            </a:ext>
          </a:extLst>
        </xdr:cNvPr>
        <xdr:cNvSpPr/>
      </xdr:nvSpPr>
      <xdr:spPr>
        <a:xfrm>
          <a:off x="4379311" y="945202"/>
          <a:ext cx="2094769" cy="1029138"/>
        </a:xfrm>
        <a:prstGeom prst="roundRect">
          <a:avLst>
            <a:gd name="adj" fmla="val 84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496322</xdr:colOff>
      <xdr:row>0</xdr:row>
      <xdr:rowOff>36495</xdr:rowOff>
    </xdr:from>
    <xdr:to>
      <xdr:col>4</xdr:col>
      <xdr:colOff>204368</xdr:colOff>
      <xdr:row>1</xdr:row>
      <xdr:rowOff>47444</xdr:rowOff>
    </xdr:to>
    <xdr:sp macro="" textlink="">
      <xdr:nvSpPr>
        <xdr:cNvPr id="7" name="TextBox 6">
          <a:extLst>
            <a:ext uri="{FF2B5EF4-FFF2-40B4-BE49-F238E27FC236}">
              <a16:creationId xmlns:a16="http://schemas.microsoft.com/office/drawing/2014/main" id="{0CB3F76B-E2CC-697B-24AE-F4525D776BA5}"/>
            </a:ext>
          </a:extLst>
        </xdr:cNvPr>
        <xdr:cNvSpPr txBox="1"/>
      </xdr:nvSpPr>
      <xdr:spPr>
        <a:xfrm>
          <a:off x="496322" y="36495"/>
          <a:ext cx="2145862" cy="1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a:t>
          </a:r>
          <a:r>
            <a:rPr lang="en-IN" sz="1100" baseline="0"/>
            <a:t> Emergency Room Dashboard</a:t>
          </a:r>
          <a:endParaRPr lang="en-IN" sz="1100"/>
        </a:p>
      </xdr:txBody>
    </xdr:sp>
    <xdr:clientData/>
  </xdr:twoCellAnchor>
  <xdr:twoCellAnchor editAs="oneCell">
    <xdr:from>
      <xdr:col>0</xdr:col>
      <xdr:colOff>10948</xdr:colOff>
      <xdr:row>0</xdr:row>
      <xdr:rowOff>47443</xdr:rowOff>
    </xdr:from>
    <xdr:to>
      <xdr:col>0</xdr:col>
      <xdr:colOff>474425</xdr:colOff>
      <xdr:row>1</xdr:row>
      <xdr:rowOff>145977</xdr:rowOff>
    </xdr:to>
    <xdr:pic>
      <xdr:nvPicPr>
        <xdr:cNvPr id="11" name="Picture 10">
          <a:extLst>
            <a:ext uri="{FF2B5EF4-FFF2-40B4-BE49-F238E27FC236}">
              <a16:creationId xmlns:a16="http://schemas.microsoft.com/office/drawing/2014/main" id="{ACBAA364-1958-2EE8-B20F-868E57201E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987" t="12936" r="18519" b="15915"/>
        <a:stretch>
          <a:fillRect/>
        </a:stretch>
      </xdr:blipFill>
      <xdr:spPr>
        <a:xfrm>
          <a:off x="10948" y="47443"/>
          <a:ext cx="463477" cy="281005"/>
        </a:xfrm>
        <a:prstGeom prst="rect">
          <a:avLst/>
        </a:prstGeom>
      </xdr:spPr>
    </xdr:pic>
    <xdr:clientData/>
  </xdr:twoCellAnchor>
  <xdr:twoCellAnchor editAs="absolute">
    <xdr:from>
      <xdr:col>1</xdr:col>
      <xdr:colOff>441580</xdr:colOff>
      <xdr:row>1</xdr:row>
      <xdr:rowOff>6423</xdr:rowOff>
    </xdr:from>
    <xdr:to>
      <xdr:col>3</xdr:col>
      <xdr:colOff>69339</xdr:colOff>
      <xdr:row>1</xdr:row>
      <xdr:rowOff>171523</xdr:rowOff>
    </xdr:to>
    <xdr:sp macro="" textlink="">
      <xdr:nvSpPr>
        <xdr:cNvPr id="15" name="Rectangle: Rounded Corners 14">
          <a:extLst>
            <a:ext uri="{FF2B5EF4-FFF2-40B4-BE49-F238E27FC236}">
              <a16:creationId xmlns:a16="http://schemas.microsoft.com/office/drawing/2014/main" id="{F1D5E3EE-5724-403F-0F2A-0E1A74CFFEED}"/>
            </a:ext>
          </a:extLst>
        </xdr:cNvPr>
        <xdr:cNvSpPr/>
      </xdr:nvSpPr>
      <xdr:spPr>
        <a:xfrm>
          <a:off x="1051034" y="188894"/>
          <a:ext cx="846667" cy="1651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900">
              <a:solidFill>
                <a:schemeClr val="tx1"/>
              </a:solidFill>
            </a:rPr>
            <a:t>Monthly Report</a:t>
          </a:r>
        </a:p>
      </xdr:txBody>
    </xdr:sp>
    <xdr:clientData/>
  </xdr:twoCellAnchor>
  <xdr:twoCellAnchor editAs="absolute">
    <xdr:from>
      <xdr:col>1</xdr:col>
      <xdr:colOff>434281</xdr:colOff>
      <xdr:row>2</xdr:row>
      <xdr:rowOff>36493</xdr:rowOff>
    </xdr:from>
    <xdr:to>
      <xdr:col>3</xdr:col>
      <xdr:colOff>284654</xdr:colOff>
      <xdr:row>3</xdr:row>
      <xdr:rowOff>98534</xdr:rowOff>
    </xdr:to>
    <xdr:sp macro="" textlink="">
      <xdr:nvSpPr>
        <xdr:cNvPr id="20" name="Rectangle: Rounded Corners 19">
          <a:extLst>
            <a:ext uri="{FF2B5EF4-FFF2-40B4-BE49-F238E27FC236}">
              <a16:creationId xmlns:a16="http://schemas.microsoft.com/office/drawing/2014/main" id="{C3EE8709-78FD-F732-8C99-4E22F7202BBC}"/>
            </a:ext>
          </a:extLst>
        </xdr:cNvPr>
        <xdr:cNvSpPr/>
      </xdr:nvSpPr>
      <xdr:spPr>
        <a:xfrm>
          <a:off x="1043735" y="401436"/>
          <a:ext cx="1069281" cy="2445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600">
              <a:solidFill>
                <a:schemeClr val="bg2">
                  <a:lumMod val="25000"/>
                </a:schemeClr>
              </a:solidFill>
            </a:rPr>
            <a:t>No of Patient</a:t>
          </a:r>
        </a:p>
      </xdr:txBody>
    </xdr:sp>
    <xdr:clientData/>
  </xdr:twoCellAnchor>
  <xdr:twoCellAnchor editAs="absolute">
    <xdr:from>
      <xdr:col>1</xdr:col>
      <xdr:colOff>580259</xdr:colOff>
      <xdr:row>3</xdr:row>
      <xdr:rowOff>51091</xdr:rowOff>
    </xdr:from>
    <xdr:to>
      <xdr:col>3</xdr:col>
      <xdr:colOff>65691</xdr:colOff>
      <xdr:row>4</xdr:row>
      <xdr:rowOff>14597</xdr:rowOff>
    </xdr:to>
    <xdr:sp macro="" textlink="'Pivot Report'!A5">
      <xdr:nvSpPr>
        <xdr:cNvPr id="21" name="Rectangle: Rounded Corners 20">
          <a:extLst>
            <a:ext uri="{FF2B5EF4-FFF2-40B4-BE49-F238E27FC236}">
              <a16:creationId xmlns:a16="http://schemas.microsoft.com/office/drawing/2014/main" id="{4721D81C-7A81-C3D4-E7C4-3BC3693B205F}"/>
            </a:ext>
          </a:extLst>
        </xdr:cNvPr>
        <xdr:cNvSpPr/>
      </xdr:nvSpPr>
      <xdr:spPr>
        <a:xfrm>
          <a:off x="1189713" y="598505"/>
          <a:ext cx="704340" cy="145977"/>
        </a:xfrm>
        <a:prstGeom prst="roundRect">
          <a:avLst>
            <a:gd name="adj" fmla="val 24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CE30C441-3FD8-4A9D-B670-9766D5652621}" type="TxLink">
            <a:rPr lang="en-US" sz="1100" b="0" i="0" u="none" strike="noStrike">
              <a:solidFill>
                <a:srgbClr val="000000"/>
              </a:solidFill>
              <a:latin typeface="Calibri"/>
              <a:ea typeface="Calibri"/>
              <a:cs typeface="Calibri"/>
            </a:rPr>
            <a:pPr algn="ctr"/>
            <a:t>485</a:t>
          </a:fld>
          <a:endParaRPr lang="en-IN" sz="900">
            <a:solidFill>
              <a:schemeClr val="tx1"/>
            </a:solidFill>
          </a:endParaRPr>
        </a:p>
      </xdr:txBody>
    </xdr:sp>
    <xdr:clientData/>
  </xdr:twoCellAnchor>
  <xdr:twoCellAnchor editAs="absolute">
    <xdr:from>
      <xdr:col>3</xdr:col>
      <xdr:colOff>346695</xdr:colOff>
      <xdr:row>2</xdr:row>
      <xdr:rowOff>65689</xdr:rowOff>
    </xdr:from>
    <xdr:to>
      <xdr:col>4</xdr:col>
      <xdr:colOff>587558</xdr:colOff>
      <xdr:row>3</xdr:row>
      <xdr:rowOff>83937</xdr:rowOff>
    </xdr:to>
    <xdr:sp macro="" textlink="">
      <xdr:nvSpPr>
        <xdr:cNvPr id="28" name="Rectangle: Rounded Corners 27">
          <a:extLst>
            <a:ext uri="{FF2B5EF4-FFF2-40B4-BE49-F238E27FC236}">
              <a16:creationId xmlns:a16="http://schemas.microsoft.com/office/drawing/2014/main" id="{955A5F3A-AF7A-E610-CA15-AD164B930606}"/>
            </a:ext>
          </a:extLst>
        </xdr:cNvPr>
        <xdr:cNvSpPr/>
      </xdr:nvSpPr>
      <xdr:spPr>
        <a:xfrm>
          <a:off x="2175057" y="430632"/>
          <a:ext cx="850317" cy="2007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600" b="0">
              <a:solidFill>
                <a:schemeClr val="bg2">
                  <a:lumMod val="25000"/>
                </a:schemeClr>
              </a:solidFill>
            </a:rPr>
            <a:t>Average</a:t>
          </a:r>
          <a:r>
            <a:rPr lang="en-IN" sz="600" b="0" baseline="0">
              <a:solidFill>
                <a:schemeClr val="bg2">
                  <a:lumMod val="25000"/>
                </a:schemeClr>
              </a:solidFill>
            </a:rPr>
            <a:t> Wait Time</a:t>
          </a:r>
          <a:endParaRPr lang="en-IN" sz="600" b="0">
            <a:solidFill>
              <a:schemeClr val="bg2">
                <a:lumMod val="25000"/>
              </a:schemeClr>
            </a:solidFill>
          </a:endParaRPr>
        </a:p>
      </xdr:txBody>
    </xdr:sp>
    <xdr:clientData/>
  </xdr:twoCellAnchor>
  <xdr:twoCellAnchor editAs="absolute">
    <xdr:from>
      <xdr:col>3</xdr:col>
      <xdr:colOff>415159</xdr:colOff>
      <xdr:row>3</xdr:row>
      <xdr:rowOff>40143</xdr:rowOff>
    </xdr:from>
    <xdr:to>
      <xdr:col>5</xdr:col>
      <xdr:colOff>87587</xdr:colOff>
      <xdr:row>4</xdr:row>
      <xdr:rowOff>50216</xdr:rowOff>
    </xdr:to>
    <xdr:sp macro="" textlink="'Pivot Report'!A9">
      <xdr:nvSpPr>
        <xdr:cNvPr id="29" name="Rectangle: Rounded Corners 28">
          <a:extLst>
            <a:ext uri="{FF2B5EF4-FFF2-40B4-BE49-F238E27FC236}">
              <a16:creationId xmlns:a16="http://schemas.microsoft.com/office/drawing/2014/main" id="{08298C2E-2542-8186-45B3-B8D9D1236876}"/>
            </a:ext>
          </a:extLst>
        </xdr:cNvPr>
        <xdr:cNvSpPr/>
      </xdr:nvSpPr>
      <xdr:spPr>
        <a:xfrm>
          <a:off x="2243521" y="587557"/>
          <a:ext cx="891336" cy="192544"/>
        </a:xfrm>
        <a:prstGeom prst="roundRect">
          <a:avLst>
            <a:gd name="adj" fmla="val 24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072CAE93-578F-429A-93AC-1A7B9359971E}" type="TxLink">
            <a:rPr lang="en-US" sz="1100" b="0" i="0" u="none" strike="noStrike">
              <a:solidFill>
                <a:srgbClr val="000000"/>
              </a:solidFill>
              <a:latin typeface="Calibri"/>
              <a:ea typeface="Calibri"/>
              <a:cs typeface="Calibri"/>
            </a:rPr>
            <a:pPr algn="ctr"/>
            <a:t>35.51</a:t>
          </a:fld>
          <a:endParaRPr lang="en-IN" sz="900">
            <a:solidFill>
              <a:schemeClr val="tx1"/>
            </a:solidFill>
          </a:endParaRPr>
        </a:p>
      </xdr:txBody>
    </xdr:sp>
    <xdr:clientData/>
  </xdr:twoCellAnchor>
  <xdr:twoCellAnchor editAs="absolute">
    <xdr:from>
      <xdr:col>5</xdr:col>
      <xdr:colOff>189770</xdr:colOff>
      <xdr:row>2</xdr:row>
      <xdr:rowOff>102183</xdr:rowOff>
    </xdr:from>
    <xdr:to>
      <xdr:col>6</xdr:col>
      <xdr:colOff>480848</xdr:colOff>
      <xdr:row>3</xdr:row>
      <xdr:rowOff>178822</xdr:rowOff>
    </xdr:to>
    <xdr:sp macro="" textlink="">
      <xdr:nvSpPr>
        <xdr:cNvPr id="30" name="Rectangle: Rounded Corners 29">
          <a:extLst>
            <a:ext uri="{FF2B5EF4-FFF2-40B4-BE49-F238E27FC236}">
              <a16:creationId xmlns:a16="http://schemas.microsoft.com/office/drawing/2014/main" id="{1F1D7FD6-4AAC-FAF2-FC2A-FCAF73568B03}"/>
            </a:ext>
          </a:extLst>
        </xdr:cNvPr>
        <xdr:cNvSpPr/>
      </xdr:nvSpPr>
      <xdr:spPr>
        <a:xfrm>
          <a:off x="3237040" y="467126"/>
          <a:ext cx="900532" cy="25911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600">
              <a:solidFill>
                <a:schemeClr val="bg2">
                  <a:lumMod val="25000"/>
                </a:schemeClr>
              </a:solidFill>
            </a:rPr>
            <a:t>Patient Satisfaction Score</a:t>
          </a:r>
        </a:p>
      </xdr:txBody>
    </xdr:sp>
    <xdr:clientData/>
  </xdr:twoCellAnchor>
  <xdr:twoCellAnchor editAs="absolute">
    <xdr:from>
      <xdr:col>5</xdr:col>
      <xdr:colOff>331222</xdr:colOff>
      <xdr:row>3</xdr:row>
      <xdr:rowOff>54741</xdr:rowOff>
    </xdr:from>
    <xdr:to>
      <xdr:col>7</xdr:col>
      <xdr:colOff>3650</xdr:colOff>
      <xdr:row>4</xdr:row>
      <xdr:rowOff>36494</xdr:rowOff>
    </xdr:to>
    <xdr:sp macro="" textlink="'Pivot Report'!A12">
      <xdr:nvSpPr>
        <xdr:cNvPr id="31" name="Rectangle: Rounded Corners 30">
          <a:extLst>
            <a:ext uri="{FF2B5EF4-FFF2-40B4-BE49-F238E27FC236}">
              <a16:creationId xmlns:a16="http://schemas.microsoft.com/office/drawing/2014/main" id="{A900067C-3C44-4076-435C-242A5C9D6D3B}"/>
            </a:ext>
          </a:extLst>
        </xdr:cNvPr>
        <xdr:cNvSpPr/>
      </xdr:nvSpPr>
      <xdr:spPr>
        <a:xfrm>
          <a:off x="3378492" y="602155"/>
          <a:ext cx="891336" cy="164224"/>
        </a:xfrm>
        <a:prstGeom prst="roundRect">
          <a:avLst>
            <a:gd name="adj" fmla="val 24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7741B9AE-04F6-4AA7-8DDF-50C811C6F90A}" type="TxLink">
            <a:rPr lang="en-US" sz="1100" b="0" i="0" u="none" strike="noStrike">
              <a:solidFill>
                <a:srgbClr val="000000"/>
              </a:solidFill>
              <a:latin typeface="Calibri"/>
              <a:ea typeface="Calibri"/>
              <a:cs typeface="Calibri"/>
            </a:rPr>
            <a:pPr algn="ctr"/>
            <a:t>4.71</a:t>
          </a:fld>
          <a:endParaRPr lang="en-IN" sz="900">
            <a:solidFill>
              <a:schemeClr val="tx1"/>
            </a:solidFill>
          </a:endParaRPr>
        </a:p>
      </xdr:txBody>
    </xdr:sp>
    <xdr:clientData/>
  </xdr:twoCellAnchor>
  <xdr:twoCellAnchor editAs="oneCell">
    <xdr:from>
      <xdr:col>3</xdr:col>
      <xdr:colOff>32846</xdr:colOff>
      <xdr:row>2</xdr:row>
      <xdr:rowOff>47442</xdr:rowOff>
    </xdr:from>
    <xdr:to>
      <xdr:col>3</xdr:col>
      <xdr:colOff>211668</xdr:colOff>
      <xdr:row>3</xdr:row>
      <xdr:rowOff>43793</xdr:rowOff>
    </xdr:to>
    <xdr:pic>
      <xdr:nvPicPr>
        <xdr:cNvPr id="33" name="Graphic 32" descr="User with solid fill">
          <a:extLst>
            <a:ext uri="{FF2B5EF4-FFF2-40B4-BE49-F238E27FC236}">
              <a16:creationId xmlns:a16="http://schemas.microsoft.com/office/drawing/2014/main" id="{438241B7-8B88-487C-13C0-B30D4D5D7F3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61208" y="412385"/>
          <a:ext cx="178822" cy="178822"/>
        </a:xfrm>
        <a:prstGeom prst="rect">
          <a:avLst/>
        </a:prstGeom>
      </xdr:spPr>
    </xdr:pic>
    <xdr:clientData/>
  </xdr:twoCellAnchor>
  <xdr:twoCellAnchor editAs="oneCell">
    <xdr:from>
      <xdr:col>6</xdr:col>
      <xdr:colOff>474425</xdr:colOff>
      <xdr:row>2</xdr:row>
      <xdr:rowOff>58390</xdr:rowOff>
    </xdr:from>
    <xdr:to>
      <xdr:col>7</xdr:col>
      <xdr:colOff>40144</xdr:colOff>
      <xdr:row>3</xdr:row>
      <xdr:rowOff>51092</xdr:rowOff>
    </xdr:to>
    <xdr:pic>
      <xdr:nvPicPr>
        <xdr:cNvPr id="35" name="Graphic 34" descr="Star with solid fill">
          <a:extLst>
            <a:ext uri="{FF2B5EF4-FFF2-40B4-BE49-F238E27FC236}">
              <a16:creationId xmlns:a16="http://schemas.microsoft.com/office/drawing/2014/main" id="{AEE69540-9C1A-96A9-DF5C-83C0F1386CD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31149" y="423333"/>
          <a:ext cx="175173" cy="175173"/>
        </a:xfrm>
        <a:prstGeom prst="rect">
          <a:avLst/>
        </a:prstGeom>
      </xdr:spPr>
    </xdr:pic>
    <xdr:clientData/>
  </xdr:twoCellAnchor>
  <xdr:twoCellAnchor editAs="oneCell">
    <xdr:from>
      <xdr:col>4</xdr:col>
      <xdr:colOff>565662</xdr:colOff>
      <xdr:row>2</xdr:row>
      <xdr:rowOff>62040</xdr:rowOff>
    </xdr:from>
    <xdr:to>
      <xdr:col>5</xdr:col>
      <xdr:colOff>111185</xdr:colOff>
      <xdr:row>3</xdr:row>
      <xdr:rowOff>36494</xdr:rowOff>
    </xdr:to>
    <xdr:pic>
      <xdr:nvPicPr>
        <xdr:cNvPr id="37" name="Graphic 36" descr="Hourglass Finished with solid fill">
          <a:extLst>
            <a:ext uri="{FF2B5EF4-FFF2-40B4-BE49-F238E27FC236}">
              <a16:creationId xmlns:a16="http://schemas.microsoft.com/office/drawing/2014/main" id="{49970320-D93F-3FD8-D3A9-44F1A43D25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03478" y="426983"/>
          <a:ext cx="154977" cy="156925"/>
        </a:xfrm>
        <a:prstGeom prst="rect">
          <a:avLst/>
        </a:prstGeom>
      </xdr:spPr>
    </xdr:pic>
    <xdr:clientData/>
  </xdr:twoCellAnchor>
  <xdr:twoCellAnchor editAs="oneCell">
    <xdr:from>
      <xdr:col>0</xdr:col>
      <xdr:colOff>43793</xdr:colOff>
      <xdr:row>2</xdr:row>
      <xdr:rowOff>69338</xdr:rowOff>
    </xdr:from>
    <xdr:to>
      <xdr:col>1</xdr:col>
      <xdr:colOff>397787</xdr:colOff>
      <xdr:row>10</xdr:row>
      <xdr:rowOff>135027</xdr:rowOff>
    </xdr:to>
    <mc:AlternateContent xmlns:mc="http://schemas.openxmlformats.org/markup-compatibility/2006" xmlns:a14="http://schemas.microsoft.com/office/drawing/2010/main">
      <mc:Choice Requires="a14">
        <xdr:graphicFrame macro="">
          <xdr:nvGraphicFramePr>
            <xdr:cNvPr id="38" name="Date (Month) 1">
              <a:extLst>
                <a:ext uri="{FF2B5EF4-FFF2-40B4-BE49-F238E27FC236}">
                  <a16:creationId xmlns:a16="http://schemas.microsoft.com/office/drawing/2014/main" id="{7674BBC3-409F-4137-A270-929F9A5E85E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3793" y="434281"/>
              <a:ext cx="963448" cy="152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492672</xdr:colOff>
      <xdr:row>3</xdr:row>
      <xdr:rowOff>131378</xdr:rowOff>
    </xdr:from>
    <xdr:to>
      <xdr:col>3</xdr:col>
      <xdr:colOff>237214</xdr:colOff>
      <xdr:row>5</xdr:row>
      <xdr:rowOff>54742</xdr:rowOff>
    </xdr:to>
    <xdr:graphicFrame macro="">
      <xdr:nvGraphicFramePr>
        <xdr:cNvPr id="8" name="Chart 7">
          <a:hlinkClick xmlns:r="http://schemas.openxmlformats.org/officeDocument/2006/relationships" r:id="rId8"/>
          <a:extLst>
            <a:ext uri="{FF2B5EF4-FFF2-40B4-BE49-F238E27FC236}">
              <a16:creationId xmlns:a16="http://schemas.microsoft.com/office/drawing/2014/main" id="{E778FE32-0F51-49A4-9401-6E86326C4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295603</xdr:colOff>
      <xdr:row>4</xdr:row>
      <xdr:rowOff>3650</xdr:rowOff>
    </xdr:from>
    <xdr:to>
      <xdr:col>5</xdr:col>
      <xdr:colOff>145976</xdr:colOff>
      <xdr:row>5</xdr:row>
      <xdr:rowOff>58537</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A1CB3232-26AF-463A-BEFE-BFDCDA574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222615</xdr:colOff>
      <xdr:row>3</xdr:row>
      <xdr:rowOff>142327</xdr:rowOff>
    </xdr:from>
    <xdr:to>
      <xdr:col>7</xdr:col>
      <xdr:colOff>51093</xdr:colOff>
      <xdr:row>5</xdr:row>
      <xdr:rowOff>76638</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636A7D34-7473-41E9-A85E-E0DCCD50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489024</xdr:colOff>
          <xdr:row>5</xdr:row>
          <xdr:rowOff>106168</xdr:rowOff>
        </xdr:from>
        <xdr:to>
          <xdr:col>7</xdr:col>
          <xdr:colOff>58392</xdr:colOff>
          <xdr:row>7</xdr:row>
          <xdr:rowOff>36494</xdr:rowOff>
        </xdr:to>
        <xdr:pic>
          <xdr:nvPicPr>
            <xdr:cNvPr id="17" name="Picture 16">
              <a:extLst>
                <a:ext uri="{FF2B5EF4-FFF2-40B4-BE49-F238E27FC236}">
                  <a16:creationId xmlns:a16="http://schemas.microsoft.com/office/drawing/2014/main" id="{B945C37E-B4C5-DD24-776E-56A9EC0B8118}"/>
                </a:ext>
              </a:extLst>
            </xdr:cNvPr>
            <xdr:cNvPicPr>
              <a:picLocks noChangeAspect="1" noChangeArrowheads="1"/>
              <a:extLst>
                <a:ext uri="{84589F7E-364E-4C9E-8A38-B11213B215E9}">
                  <a14:cameraTool cellRange="'Pivot Report'!$A$43:$D$45" spid="_x0000_s1055"/>
                </a:ext>
              </a:extLst>
            </xdr:cNvPicPr>
          </xdr:nvPicPr>
          <xdr:blipFill>
            <a:blip xmlns:r="http://schemas.openxmlformats.org/officeDocument/2006/relationships" r:embed="rId14"/>
            <a:srcRect/>
            <a:stretch>
              <a:fillRect/>
            </a:stretch>
          </xdr:blipFill>
          <xdr:spPr bwMode="auto">
            <a:xfrm>
              <a:off x="1098478" y="1018524"/>
              <a:ext cx="3226092" cy="29526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503621</xdr:colOff>
      <xdr:row>7</xdr:row>
      <xdr:rowOff>98534</xdr:rowOff>
    </xdr:from>
    <xdr:to>
      <xdr:col>7</xdr:col>
      <xdr:colOff>40144</xdr:colOff>
      <xdr:row>10</xdr:row>
      <xdr:rowOff>127730</xdr:rowOff>
    </xdr:to>
    <xdr:graphicFrame macro="">
      <xdr:nvGraphicFramePr>
        <xdr:cNvPr id="18" name="Chart 17">
          <a:extLst>
            <a:ext uri="{FF2B5EF4-FFF2-40B4-BE49-F238E27FC236}">
              <a16:creationId xmlns:a16="http://schemas.microsoft.com/office/drawing/2014/main" id="{3081CC10-3873-45E0-A095-410EA57C9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102186</xdr:colOff>
      <xdr:row>0</xdr:row>
      <xdr:rowOff>36496</xdr:rowOff>
    </xdr:from>
    <xdr:to>
      <xdr:col>8</xdr:col>
      <xdr:colOff>510919</xdr:colOff>
      <xdr:row>4</xdr:row>
      <xdr:rowOff>20803</xdr:rowOff>
    </xdr:to>
    <xdr:graphicFrame macro="">
      <xdr:nvGraphicFramePr>
        <xdr:cNvPr id="19" name="Chart 18">
          <a:extLst>
            <a:ext uri="{FF2B5EF4-FFF2-40B4-BE49-F238E27FC236}">
              <a16:creationId xmlns:a16="http://schemas.microsoft.com/office/drawing/2014/main" id="{30866470-C38A-4948-AE61-8126E220D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167874</xdr:colOff>
      <xdr:row>4</xdr:row>
      <xdr:rowOff>47443</xdr:rowOff>
    </xdr:from>
    <xdr:to>
      <xdr:col>8</xdr:col>
      <xdr:colOff>510920</xdr:colOff>
      <xdr:row>4</xdr:row>
      <xdr:rowOff>153276</xdr:rowOff>
    </xdr:to>
    <xdr:sp macro="" textlink="">
      <xdr:nvSpPr>
        <xdr:cNvPr id="26" name="Rectangle: Rounded Corners 25">
          <a:extLst>
            <a:ext uri="{FF2B5EF4-FFF2-40B4-BE49-F238E27FC236}">
              <a16:creationId xmlns:a16="http://schemas.microsoft.com/office/drawing/2014/main" id="{BBCA596B-4DAF-4946-BAE4-91D488E7F351}"/>
            </a:ext>
          </a:extLst>
        </xdr:cNvPr>
        <xdr:cNvSpPr/>
      </xdr:nvSpPr>
      <xdr:spPr>
        <a:xfrm>
          <a:off x="4434052" y="777328"/>
          <a:ext cx="952500" cy="1058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600">
              <a:solidFill>
                <a:schemeClr val="bg2">
                  <a:lumMod val="25000"/>
                </a:schemeClr>
              </a:solidFill>
            </a:rPr>
            <a:t>Patient Attended Time Status</a:t>
          </a:r>
        </a:p>
      </xdr:txBody>
    </xdr:sp>
    <xdr:clientData/>
  </xdr:twoCellAnchor>
  <xdr:twoCellAnchor>
    <xdr:from>
      <xdr:col>8</xdr:col>
      <xdr:colOff>583907</xdr:colOff>
      <xdr:row>0</xdr:row>
      <xdr:rowOff>36494</xdr:rowOff>
    </xdr:from>
    <xdr:to>
      <xdr:col>10</xdr:col>
      <xdr:colOff>386838</xdr:colOff>
      <xdr:row>4</xdr:row>
      <xdr:rowOff>36494</xdr:rowOff>
    </xdr:to>
    <xdr:graphicFrame macro="">
      <xdr:nvGraphicFramePr>
        <xdr:cNvPr id="27" name="Chart 26">
          <a:extLst>
            <a:ext uri="{FF2B5EF4-FFF2-40B4-BE49-F238E27FC236}">
              <a16:creationId xmlns:a16="http://schemas.microsoft.com/office/drawing/2014/main" id="{4D375CEE-F98E-46D4-90CD-A993A91A3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2774</xdr:colOff>
      <xdr:row>4</xdr:row>
      <xdr:rowOff>46567</xdr:rowOff>
    </xdr:from>
    <xdr:to>
      <xdr:col>10</xdr:col>
      <xdr:colOff>345820</xdr:colOff>
      <xdr:row>4</xdr:row>
      <xdr:rowOff>152400</xdr:rowOff>
    </xdr:to>
    <xdr:sp macro="" textlink="">
      <xdr:nvSpPr>
        <xdr:cNvPr id="34" name="Rectangle: Rounded Corners 33">
          <a:extLst>
            <a:ext uri="{FF2B5EF4-FFF2-40B4-BE49-F238E27FC236}">
              <a16:creationId xmlns:a16="http://schemas.microsoft.com/office/drawing/2014/main" id="{319AC1B3-C207-4BB4-8533-AB91014A124B}"/>
            </a:ext>
          </a:extLst>
        </xdr:cNvPr>
        <xdr:cNvSpPr/>
      </xdr:nvSpPr>
      <xdr:spPr>
        <a:xfrm>
          <a:off x="5487860" y="776452"/>
          <a:ext cx="952500" cy="1058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600">
              <a:solidFill>
                <a:schemeClr val="bg2">
                  <a:lumMod val="25000"/>
                </a:schemeClr>
              </a:solidFill>
            </a:rPr>
            <a:t>Gender Wise Analysis</a:t>
          </a:r>
        </a:p>
      </xdr:txBody>
    </xdr:sp>
    <xdr:clientData/>
  </xdr:twoCellAnchor>
  <xdr:twoCellAnchor>
    <xdr:from>
      <xdr:col>7</xdr:col>
      <xdr:colOff>120431</xdr:colOff>
      <xdr:row>5</xdr:row>
      <xdr:rowOff>36495</xdr:rowOff>
    </xdr:from>
    <xdr:to>
      <xdr:col>10</xdr:col>
      <xdr:colOff>368592</xdr:colOff>
      <xdr:row>10</xdr:row>
      <xdr:rowOff>131379</xdr:rowOff>
    </xdr:to>
    <xdr:graphicFrame macro="">
      <xdr:nvGraphicFramePr>
        <xdr:cNvPr id="36" name="Chart 35">
          <a:extLst>
            <a:ext uri="{FF2B5EF4-FFF2-40B4-BE49-F238E27FC236}">
              <a16:creationId xmlns:a16="http://schemas.microsoft.com/office/drawing/2014/main" id="{53C48489-D9A1-4D9D-8646-8BF1C8F41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478074</xdr:colOff>
      <xdr:row>0</xdr:row>
      <xdr:rowOff>32847</xdr:rowOff>
    </xdr:from>
    <xdr:to>
      <xdr:col>7</xdr:col>
      <xdr:colOff>73738</xdr:colOff>
      <xdr:row>1</xdr:row>
      <xdr:rowOff>167873</xdr:rowOff>
    </xdr:to>
    <mc:AlternateContent xmlns:mc="http://schemas.openxmlformats.org/markup-compatibility/2006" xmlns:a14="http://schemas.microsoft.com/office/drawing/2010/main">
      <mc:Choice Requires="a14">
        <xdr:graphicFrame macro="">
          <xdr:nvGraphicFramePr>
            <xdr:cNvPr id="39" name="Date (Year) 1">
              <a:extLst>
                <a:ext uri="{FF2B5EF4-FFF2-40B4-BE49-F238E27FC236}">
                  <a16:creationId xmlns:a16="http://schemas.microsoft.com/office/drawing/2014/main" id="{412CC2C0-BE20-4932-A29F-53634D8121F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915890" y="32847"/>
              <a:ext cx="1424026" cy="317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0.06563</cdr:x>
      <cdr:y>0.8998</cdr:y>
    </cdr:from>
    <cdr:to>
      <cdr:x>0.962</cdr:x>
      <cdr:y>1</cdr:y>
    </cdr:to>
    <cdr:sp macro="" textlink="">
      <cdr:nvSpPr>
        <cdr:cNvPr id="2" name="Rectangle: Rounded Corners 1">
          <a:extLst xmlns:a="http://schemas.openxmlformats.org/drawingml/2006/main">
            <a:ext uri="{FF2B5EF4-FFF2-40B4-BE49-F238E27FC236}">
              <a16:creationId xmlns:a16="http://schemas.microsoft.com/office/drawing/2014/main" id="{BBCA596B-4DAF-4946-BAE4-91D488E7F351}"/>
            </a:ext>
          </a:extLst>
        </cdr:cNvPr>
        <cdr:cNvSpPr/>
      </cdr:nvSpPr>
      <cdr:spPr>
        <a:xfrm xmlns:a="http://schemas.openxmlformats.org/drawingml/2006/main">
          <a:off x="138677" y="917651"/>
          <a:ext cx="1894051" cy="102184"/>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600">
              <a:solidFill>
                <a:schemeClr val="bg2">
                  <a:lumMod val="25000"/>
                </a:schemeClr>
              </a:solidFill>
            </a:rPr>
            <a:t>No of Patient by</a:t>
          </a:r>
          <a:r>
            <a:rPr lang="en-IN" sz="600" baseline="0">
              <a:solidFill>
                <a:schemeClr val="bg2">
                  <a:lumMod val="25000"/>
                </a:schemeClr>
              </a:solidFill>
            </a:rPr>
            <a:t> Department Referal</a:t>
          </a:r>
          <a:endParaRPr lang="en-IN" sz="600">
            <a:solidFill>
              <a:schemeClr val="bg2">
                <a:lumMod val="2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56988</xdr:colOff>
      <xdr:row>12</xdr:row>
      <xdr:rowOff>158750</xdr:rowOff>
    </xdr:to>
    <xdr:graphicFrame macro="">
      <xdr:nvGraphicFramePr>
        <xdr:cNvPr id="2" name="Chart 1">
          <a:extLst>
            <a:ext uri="{FF2B5EF4-FFF2-40B4-BE49-F238E27FC236}">
              <a16:creationId xmlns:a16="http://schemas.microsoft.com/office/drawing/2014/main" id="{6FCC6E8D-38D6-454C-92BF-6B7671E38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341923</xdr:colOff>
      <xdr:row>1</xdr:row>
      <xdr:rowOff>158750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DB6A974-0C02-1DF4-0FEB-91BDAA2D52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41923" cy="3419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241300</xdr:colOff>
      <xdr:row>19</xdr:row>
      <xdr:rowOff>165100</xdr:rowOff>
    </xdr:to>
    <xdr:graphicFrame macro="">
      <xdr:nvGraphicFramePr>
        <xdr:cNvPr id="2" name="Chart 1">
          <a:extLst>
            <a:ext uri="{FF2B5EF4-FFF2-40B4-BE49-F238E27FC236}">
              <a16:creationId xmlns:a16="http://schemas.microsoft.com/office/drawing/2014/main" id="{494614FB-2464-4923-93C0-68891F013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482600</xdr:colOff>
      <xdr:row>2</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D5C391A-B2D1-4DE0-35D5-4522CB7E9C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82600" cy="482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88900</xdr:colOff>
      <xdr:row>20</xdr:row>
      <xdr:rowOff>69850</xdr:rowOff>
    </xdr:to>
    <xdr:graphicFrame macro="">
      <xdr:nvGraphicFramePr>
        <xdr:cNvPr id="2" name="Chart 1">
          <a:extLst>
            <a:ext uri="{FF2B5EF4-FFF2-40B4-BE49-F238E27FC236}">
              <a16:creationId xmlns:a16="http://schemas.microsoft.com/office/drawing/2014/main" id="{8D1D2782-8DB9-4D4D-AD0F-532F5CD10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0.04081</cdr:x>
      <cdr:y>0.1269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E20402-0B91-8835-3506-367E0EA7A7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76250" cy="47625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18750001" backgroundQuery="1" createdVersion="8" refreshedVersion="8" minRefreshableVersion="3" recordCount="0" supportSubquery="1" supportAdvancedDrill="1" xr:uid="{F7617CA8-B8EA-48A9-8901-427E3DAD5D20}">
  <cacheSource type="external" connectionId="3"/>
  <cacheFields count="3">
    <cacheField name="[Measures].[Distinct Count of Patient Id]" caption="Distinct Count of Patient Id" numFmtId="0" hierarchy="24" level="32767"/>
    <cacheField name="[Calender].[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Date (Month)].[Date (Month)]" caption="Date (Month)" numFmtId="0" hierarchy="1"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19212963" backgroundQuery="1" createdVersion="8" refreshedVersion="8" minRefreshableVersion="3" recordCount="0" supportSubquery="1" supportAdvancedDrill="1" xr:uid="{8B93D8EB-22AD-4A6A-852B-D030F7D38CEE}">
  <cacheSource type="external" connectionId="3"/>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19560186" backgroundQuery="1" createdVersion="8" refreshedVersion="8" minRefreshableVersion="3" recordCount="0" supportSubquery="1" supportAdvancedDrill="1" xr:uid="{70D772F2-AD5B-4A9C-ABFD-3858B9F5B50C}">
  <cacheSource type="external" connectionId="3"/>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1990741" backgroundQuery="1" createdVersion="8" refreshedVersion="8" minRefreshableVersion="3" recordCount="0" supportSubquery="1" supportAdvancedDrill="1" xr:uid="{A3E22232-B2F0-4EFE-A0E9-180BA0ABDB07}">
  <cacheSource type="external" connectionId="3"/>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048611" backgroundQuery="1" createdVersion="8" refreshedVersion="8" minRefreshableVersion="3" recordCount="0" supportSubquery="1" supportAdvancedDrill="1" xr:uid="{EC2A85ED-D85F-40D5-911E-B77421E8588A}">
  <cacheSource type="external" connectionId="3"/>
  <cacheFields count="4">
    <cacheField name="[Calender].[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1064818" backgroundQuery="1" createdVersion="8" refreshedVersion="8" minRefreshableVersion="3" recordCount="0" supportSubquery="1" supportAdvancedDrill="1" xr:uid="{314FBD0E-6A00-4290-B8C9-1C3715AB3CA7}">
  <cacheSource type="external" connectionId="3"/>
  <cacheFields count="4">
    <cacheField name="[Calender].[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1759257" backgroundQuery="1" createdVersion="8" refreshedVersion="8" minRefreshableVersion="3" recordCount="0" supportSubquery="1" supportAdvancedDrill="1" xr:uid="{7738F90B-675B-4523-AA59-C9E2EBBC8C32}">
  <cacheSource type="external" connectionId="3"/>
  <cacheFields count="5">
    <cacheField name="[Calender].[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3379628" backgroundQuery="1" createdVersion="8" refreshedVersion="8" minRefreshableVersion="3" recordCount="0" supportSubquery="1" supportAdvancedDrill="1" xr:uid="{224CF95E-7E63-48D4-B4A4-5CBDACBFDC8F}">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5115744" backgroundQuery="1" createdVersion="8" refreshedVersion="8" minRefreshableVersion="3" recordCount="0" supportSubquery="1" supportAdvancedDrill="1" xr:uid="{648F2AE2-4D07-4B3F-9EE9-7A1EFD7FE813}">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6967592" backgroundQuery="1" createdVersion="8" refreshedVersion="8" minRefreshableVersion="3" recordCount="0" supportSubquery="1" supportAdvancedDrill="1" xr:uid="{74EAF051-994F-4107-915D-684F13E8CABC}">
  <cacheSource type="external" connectionId="3"/>
  <cacheFields count="4">
    <cacheField name="[Calender].[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8125" backgroundQuery="1" createdVersion="8" refreshedVersion="8" minRefreshableVersion="3" recordCount="0" supportSubquery="1" supportAdvancedDrill="1" xr:uid="{C40AB44B-61AC-41E6-89BD-9F052A305F2B}">
  <cacheSource type="external" connectionId="3"/>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Date (Year)].[Date (Year)]" caption="Date (Year)"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12829513886" backgroundQuery="1" createdVersion="8" refreshedVersion="8" minRefreshableVersion="3" recordCount="0" supportSubquery="1" supportAdvancedDrill="1" xr:uid="{85EEB452-D782-40B1-8196-A776B5320EC8}">
  <cacheSource type="external" connectionId="3"/>
  <cacheFields count="4">
    <cacheField name="[Calender].[Date (Month)].[Date (Month)]" caption="Date (Month)" numFmtId="0" hierarchy="1" level="1">
      <sharedItems count="1">
        <s v="Jul"/>
      </sharedItems>
    </cacheField>
    <cacheField name="[Calender].[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Date (Quarter)].[Date (Quarter)]" caption="Date (Quarter)" numFmtId="0" hierarchy="4" level="1">
      <sharedItems count="1">
        <s v="Qtr3"/>
      </sharedItems>
    </cacheField>
    <cacheField name="[Calender].[Date (Year)].[Date (Year)]" caption="Date (Year)" numFmtId="0" hierarchy="3" level="1">
      <sharedItems count="1">
        <s v="2024"/>
      </sharedItems>
    </cacheField>
  </cacheFields>
  <cacheHierarchies count="34">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pc" refreshedDate="46206.507236689817" backgroundQuery="1" createdVersion="3" refreshedVersion="8" minRefreshableVersion="3" recordCount="0" supportSubquery="1" supportAdvancedDrill="1" xr:uid="{09839F49-478C-4277-8432-144E76E01B0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280619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6AB1CD-36C0-4D0C-9401-62628EE031E9}" name="PivotTable5" cacheId="4" applyNumberFormats="0" applyBorderFormats="0" applyFontFormats="0" applyPatternFormats="0" applyAlignmentFormats="0" applyWidthHeightFormats="1" dataCaption="Values" tag="0075bd2c-8898-4c43-a745-c84c668a7e8b" updatedVersion="8" minRefreshableVersion="3" itemPrintTitles="1" createdVersion="8" indent="0" outline="1" outlineData="1" multipleFieldFilters="0" chartFormat="41">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0">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B101B-B118-44B0-AB48-966DBF96DD43}" name="PivotTable3" cacheId="3" applyNumberFormats="0" applyBorderFormats="0" applyFontFormats="0" applyPatternFormats="0" applyAlignmentFormats="0" applyWidthHeightFormats="1" dataCaption="Values" tag="b24959a3-2edc-4191-9036-f0ecd082eb52" updatedVersion="8" minRefreshableVersion="3"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38AFE-0952-42E5-99FE-507BB9FADBD5}" name="PivotTable12" cacheId="11" applyNumberFormats="0" applyBorderFormats="0" applyFontFormats="0" applyPatternFormats="0" applyAlignmentFormats="0" applyWidthHeightFormats="1" dataCaption="Values" tag="b24959a3-2edc-4191-9036-f0ecd082eb52" updatedVersion="8" minRefreshableVersion="3" itemPrintTitles="1" createdVersion="8" indent="0" outline="1" outlineData="1" multipleFieldFilters="0" chartFormat="10">
  <location ref="A15:A1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
      <pivotArea outline="0" collapsedLevelsAreSubtotals="1" fieldPosition="0"/>
    </format>
  </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65660-B3AB-4000-883E-D5318199CDA8}" name="PivotTable9" cacheId="8" applyNumberFormats="0" applyBorderFormats="0" applyFontFormats="0" applyPatternFormats="0" applyAlignmentFormats="0" applyWidthHeightFormats="1" dataCaption="Values" tag="b24959a3-2edc-4191-9036-f0ecd082eb52" updatedVersion="8" minRefreshableVersion="3" useAutoFormatting="1" itemPrintTitles="1" createdVersion="8" indent="0" outline="1" outlineData="1" multipleFieldFilters="0" chartFormat="16">
  <location ref="G39:H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0F66E-5C2E-49B2-A757-5D29B76DF6D8}" name="PivotTable11" cacheId="10" applyNumberFormats="0" applyBorderFormats="0" applyFontFormats="0" applyPatternFormats="0" applyAlignmentFormats="0" applyWidthHeightFormats="1" dataCaption="Values" tag="b24959a3-2edc-4191-9036-f0ecd082eb52" updatedVersion="8" minRefreshableVersion="3" useAutoFormatting="1" itemPrintTitles="1" createdVersion="8" indent="0" outline="1" outlineData="1" multipleFieldFilters="0" chartFormat="4">
  <location ref="A60:B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1E8FA-736D-4AD2-B4C8-C5E034585290}" name="PivotTable4" cacheId="0" applyNumberFormats="0" applyBorderFormats="0" applyFontFormats="0" applyPatternFormats="0" applyAlignmentFormats="0" applyWidthHeightFormats="1" dataCaption="Values" tag="0075bd2c-8898-4c43-a745-c84c668a7e8b" updatedVersion="8" minRefreshableVersion="3" itemPrintTitles="1" createdVersion="8" indent="0" outline="1" outlineData="1" multipleFieldFilters="0" chartFormat="28">
  <location ref="D4:E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1"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07EFF-6960-4ED0-A8B8-BA1D3EB310CA}" name="PivotTable2" cacheId="2" applyNumberFormats="0" applyBorderFormats="0" applyFontFormats="0" applyPatternFormats="0" applyAlignmentFormats="0" applyWidthHeightFormats="1" dataCaption="Values" tag="480a452b-dfae-44cc-87e0-065c23484346" updatedVersion="8" minRefreshableVersion="3"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BD7BD7-E1DA-4306-B913-DE81BC17F23B}" name="PivotTable7" cacheId="7" applyNumberFormats="0" applyBorderFormats="0" applyFontFormats="0" applyPatternFormats="0" applyAlignmentFormats="0" applyWidthHeightFormats="1" dataCaption="Values" tag="b24959a3-2edc-4191-9036-f0ecd082eb52" updatedVersion="8" minRefreshableVersion="3" useAutoFormatting="1" itemPrintTitles="1" createdVersion="8" indent="0" outline="1" outlineData="1" multipleFieldFilters="0" chartFormat="5">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FE367E-1CCA-4857-A4AE-0984D53222A7}" name="PivotTable10" cacheId="9" applyNumberFormats="0" applyBorderFormats="0" applyFontFormats="0" applyPatternFormats="0" applyAlignmentFormats="0" applyWidthHeightFormats="1" dataCaption="Values" tag="b24959a3-2edc-4191-9036-f0ecd082eb52" updatedVersion="8" minRefreshableVersion="3" useAutoFormatting="1" itemPrintTitles="1" createdVersion="8" indent="0" outline="1" outlineData="1" multipleFieldFilters="0" chartFormat="17">
  <location ref="J39:K4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0">
      <pivotArea outline="0" collapsedLevelsAreSubtotals="1" fieldPosition="0"/>
    </format>
  </formats>
  <chartFormats count="6">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A0A1E4-6BBD-4079-9E77-87A6A49F8BB0}" name="PivotTable6" cacheId="5" applyNumberFormats="0" applyBorderFormats="0" applyFontFormats="0" applyPatternFormats="0" applyAlignmentFormats="0" applyWidthHeightFormats="1" dataCaption="Values" tag="0075bd2c-8898-4c43-a745-c84c668a7e8b" updatedVersion="8" minRefreshableVersion="3" itemPrintTitles="1" createdVersion="8" indent="0" outline="1" outlineData="1" multipleFieldFilters="0" chartFormat="47">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1">
      <pivotArea outline="0" collapsedLevelsAreSubtotals="1" fieldPosition="0"/>
    </format>
  </formats>
  <chartFormats count="3">
    <chartFormat chart="43" format="2"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9EAAFA-7F72-403F-9C88-9466D7C979BD}" name="PivotTable1" cacheId="1" applyNumberFormats="0" applyBorderFormats="0" applyFontFormats="0" applyPatternFormats="0" applyAlignmentFormats="0" applyWidthHeightFormats="1" dataCaption="Values" tag="0075bd2c-8898-4c43-a745-c84c668a7e8b" updatedVersion="8" minRefreshableVersion="3"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974E65-68B9-41FC-856C-CCED066F6722}" name="PivotTable8" cacheId="6" applyNumberFormats="0" applyBorderFormats="0" applyFontFormats="0" applyPatternFormats="0" applyAlignmentFormats="0" applyWidthHeightFormats="1" dataCaption="Values" tag="b24959a3-2edc-4191-9036-f0ecd082eb52" updatedVersion="8" minRefreshableVersion="3" useAutoFormatting="1" itemPrintTitles="1" createdVersion="8"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4">
      <pivotArea outline="0" collapsedLevelsAreSubtotals="1" fieldPosition="0"/>
    </format>
    <format dxfId="13">
      <pivotArea outline="0" fieldPosition="0">
        <references count="1">
          <reference field="4294967294" count="1">
            <x v="1"/>
          </reference>
        </references>
      </pivotArea>
    </format>
    <format dxfId="12">
      <pivotArea collapsedLevelsAreSubtotals="1" fieldPosition="0">
        <references count="2">
          <reference field="4294967294" count="1" selected="0">
            <x v="0"/>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Date (Month)].&amp;[Ju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0D43E50-1B52-4A6F-AF95-3BCA8FF7CA71}" sourceName="[Calender].[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7"/>
    <pivotTable tabId="1" name="PivotTable9"/>
    <pivotTable tabId="1" name="PivotTable10"/>
    <pivotTable tabId="1" name="PivotTable11"/>
    <pivotTable tabId="1" name="PivotTable12"/>
  </pivotTables>
  <data>
    <olap pivotCacheId="328061918">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0C78C9D-3A2A-40AB-9A93-D51525624D27}" sourceName="[Calender].[Date (Year)]">
  <pivotTables>
    <pivotTable tabId="1" name="PivotTable12"/>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328061918">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2BF72AE-93AC-4A2C-8846-D494EBFC0D00}"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5969E87F-1509-424B-81F7-27EDD5DC47A9}" cache="Slicer_Date__Month" caption="Date (Month)" showCaption="0" level="1" style="My Style" rowHeight="86400"/>
  <slicer name="Date (Year) 1" xr10:uid="{47BCF524-8103-4F27-8DC7-0D80337FEFFF}" cache="Slicer_Date__Year" caption="Date (Year)" columnCount="2" showCaption="0" level="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6A54-17CD-4C6F-908E-3E219C3EED90}">
  <dimension ref="A3:K69"/>
  <sheetViews>
    <sheetView topLeftCell="A37" workbookViewId="0">
      <selection activeCell="D39" sqref="D39"/>
    </sheetView>
  </sheetViews>
  <sheetFormatPr defaultRowHeight="14.5" x14ac:dyDescent="0.35"/>
  <cols>
    <col min="1" max="1" width="15.36328125" bestFit="1" customWidth="1"/>
    <col min="2" max="2" width="26.26953125" bestFit="1" customWidth="1"/>
    <col min="3" max="3" width="28.81640625" bestFit="1" customWidth="1"/>
    <col min="4" max="5" width="23.81640625" bestFit="1" customWidth="1"/>
    <col min="6" max="6" width="1.26953125" customWidth="1"/>
    <col min="7" max="7" width="12.36328125" bestFit="1" customWidth="1"/>
    <col min="8" max="8" width="27" bestFit="1" customWidth="1"/>
    <col min="9" max="9" width="1.08984375" customWidth="1"/>
    <col min="10" max="10" width="12.36328125" bestFit="1" customWidth="1"/>
    <col min="11" max="11" width="21.54296875" bestFit="1" customWidth="1"/>
  </cols>
  <sheetData>
    <row r="3" spans="1:11" x14ac:dyDescent="0.35">
      <c r="A3" t="s">
        <v>1</v>
      </c>
      <c r="D3" s="14" t="s">
        <v>6</v>
      </c>
      <c r="E3" s="14"/>
      <c r="G3" s="14" t="s">
        <v>7</v>
      </c>
      <c r="H3" s="14"/>
      <c r="J3" s="14" t="s">
        <v>8</v>
      </c>
      <c r="K3" s="14"/>
    </row>
    <row r="4" spans="1:11" x14ac:dyDescent="0.35">
      <c r="A4" t="s">
        <v>0</v>
      </c>
      <c r="D4" s="3" t="s">
        <v>4</v>
      </c>
      <c r="E4" t="s">
        <v>0</v>
      </c>
      <c r="G4" s="3" t="s">
        <v>4</v>
      </c>
      <c r="H4" t="s">
        <v>2</v>
      </c>
      <c r="J4" s="3" t="s">
        <v>4</v>
      </c>
      <c r="K4" t="s">
        <v>3</v>
      </c>
    </row>
    <row r="5" spans="1:11" x14ac:dyDescent="0.35">
      <c r="A5">
        <v>485</v>
      </c>
      <c r="D5" s="4" t="s">
        <v>15</v>
      </c>
      <c r="E5">
        <v>43</v>
      </c>
      <c r="G5" s="4" t="s">
        <v>15</v>
      </c>
      <c r="H5" s="1">
        <v>33.352941176470587</v>
      </c>
      <c r="J5" s="4" t="s">
        <v>15</v>
      </c>
      <c r="K5" s="1">
        <v>4.75</v>
      </c>
    </row>
    <row r="6" spans="1:11" x14ac:dyDescent="0.35">
      <c r="D6" s="4" t="s">
        <v>16</v>
      </c>
      <c r="E6">
        <v>27</v>
      </c>
      <c r="G6" s="4" t="s">
        <v>16</v>
      </c>
      <c r="H6" s="1">
        <v>38.4</v>
      </c>
      <c r="J6" s="4" t="s">
        <v>16</v>
      </c>
      <c r="K6" s="1">
        <v>5.2</v>
      </c>
    </row>
    <row r="7" spans="1:11" x14ac:dyDescent="0.35">
      <c r="D7" s="4" t="s">
        <v>17</v>
      </c>
      <c r="E7">
        <v>42</v>
      </c>
      <c r="G7" s="4" t="s">
        <v>17</v>
      </c>
      <c r="H7" s="1">
        <v>38.521739130434781</v>
      </c>
      <c r="J7" s="4" t="s">
        <v>17</v>
      </c>
      <c r="K7" s="1">
        <v>3.375</v>
      </c>
    </row>
    <row r="8" spans="1:11" x14ac:dyDescent="0.35">
      <c r="A8" t="s">
        <v>2</v>
      </c>
      <c r="D8" s="4" t="s">
        <v>18</v>
      </c>
      <c r="E8">
        <v>32</v>
      </c>
      <c r="G8" s="4" t="s">
        <v>18</v>
      </c>
      <c r="H8" s="1">
        <v>30.4</v>
      </c>
      <c r="J8" s="4" t="s">
        <v>18</v>
      </c>
      <c r="K8" s="1">
        <v>5.8</v>
      </c>
    </row>
    <row r="9" spans="1:11" x14ac:dyDescent="0.35">
      <c r="A9" s="1">
        <v>35.507216494845359</v>
      </c>
      <c r="D9" s="4" t="s">
        <v>19</v>
      </c>
      <c r="E9">
        <v>32</v>
      </c>
      <c r="G9" s="4" t="s">
        <v>19</v>
      </c>
      <c r="H9" s="1">
        <v>33.142857142857146</v>
      </c>
      <c r="J9" s="4" t="s">
        <v>19</v>
      </c>
      <c r="K9" s="1">
        <v>4.375</v>
      </c>
    </row>
    <row r="10" spans="1:11" x14ac:dyDescent="0.35">
      <c r="D10" s="4" t="s">
        <v>20</v>
      </c>
      <c r="E10">
        <v>28</v>
      </c>
      <c r="G10" s="4" t="s">
        <v>20</v>
      </c>
      <c r="H10" s="1">
        <v>38.18181818181818</v>
      </c>
      <c r="J10" s="4" t="s">
        <v>20</v>
      </c>
      <c r="K10" s="1">
        <v>3</v>
      </c>
    </row>
    <row r="11" spans="1:11" x14ac:dyDescent="0.35">
      <c r="A11" t="s">
        <v>3</v>
      </c>
      <c r="D11" s="4" t="s">
        <v>21</v>
      </c>
      <c r="E11">
        <v>32</v>
      </c>
      <c r="G11" s="4" t="s">
        <v>21</v>
      </c>
      <c r="H11" s="1">
        <v>39.733333333333334</v>
      </c>
      <c r="J11" s="4" t="s">
        <v>21</v>
      </c>
      <c r="K11" s="1">
        <v>5</v>
      </c>
    </row>
    <row r="12" spans="1:11" x14ac:dyDescent="0.35">
      <c r="A12" s="1">
        <v>4.7092198581560281</v>
      </c>
      <c r="D12" s="4" t="s">
        <v>22</v>
      </c>
      <c r="E12">
        <v>39</v>
      </c>
      <c r="G12" s="4" t="s">
        <v>22</v>
      </c>
      <c r="H12" s="1">
        <v>37</v>
      </c>
      <c r="J12" s="4" t="s">
        <v>22</v>
      </c>
      <c r="K12" s="1">
        <v>3</v>
      </c>
    </row>
    <row r="13" spans="1:11" x14ac:dyDescent="0.35">
      <c r="D13" s="4" t="s">
        <v>23</v>
      </c>
      <c r="E13">
        <v>40</v>
      </c>
      <c r="G13" s="4" t="s">
        <v>23</v>
      </c>
      <c r="H13" s="1">
        <v>35.61904761904762</v>
      </c>
      <c r="J13" s="4" t="s">
        <v>23</v>
      </c>
      <c r="K13" s="1">
        <v>4.9090909090909092</v>
      </c>
    </row>
    <row r="14" spans="1:11" x14ac:dyDescent="0.35">
      <c r="A14" s="14" t="s">
        <v>74</v>
      </c>
      <c r="B14" s="14"/>
      <c r="D14" s="4" t="s">
        <v>24</v>
      </c>
      <c r="E14">
        <v>31</v>
      </c>
      <c r="G14" s="4" t="s">
        <v>24</v>
      </c>
      <c r="H14" s="1">
        <v>34.176470588235297</v>
      </c>
      <c r="J14" s="4" t="s">
        <v>24</v>
      </c>
      <c r="K14" s="1">
        <v>3.8333333333333335</v>
      </c>
    </row>
    <row r="15" spans="1:11" x14ac:dyDescent="0.35">
      <c r="A15" s="3" t="s">
        <v>4</v>
      </c>
      <c r="D15" s="4" t="s">
        <v>25</v>
      </c>
      <c r="E15">
        <v>34</v>
      </c>
      <c r="G15" s="4" t="s">
        <v>25</v>
      </c>
      <c r="H15" s="1">
        <v>37.176470588235297</v>
      </c>
      <c r="J15" s="4" t="s">
        <v>25</v>
      </c>
      <c r="K15" s="1">
        <v>3.875</v>
      </c>
    </row>
    <row r="16" spans="1:11" x14ac:dyDescent="0.35">
      <c r="A16" s="4" t="s">
        <v>73</v>
      </c>
      <c r="D16" s="4" t="s">
        <v>26</v>
      </c>
      <c r="E16">
        <v>37</v>
      </c>
      <c r="G16" s="4" t="s">
        <v>26</v>
      </c>
      <c r="H16" s="1">
        <v>36.647058823529413</v>
      </c>
      <c r="J16" s="4" t="s">
        <v>26</v>
      </c>
      <c r="K16" s="1">
        <v>4.333333333333333</v>
      </c>
    </row>
    <row r="17" spans="1:11" x14ac:dyDescent="0.35">
      <c r="A17" s="4" t="s">
        <v>5</v>
      </c>
      <c r="D17" s="4" t="s">
        <v>27</v>
      </c>
      <c r="E17">
        <v>30</v>
      </c>
      <c r="G17" s="4" t="s">
        <v>27</v>
      </c>
      <c r="H17" s="1">
        <v>34.941176470588232</v>
      </c>
      <c r="J17" s="4" t="s">
        <v>27</v>
      </c>
      <c r="K17" s="1">
        <v>3.5</v>
      </c>
    </row>
    <row r="18" spans="1:11" x14ac:dyDescent="0.35">
      <c r="D18" s="4" t="s">
        <v>28</v>
      </c>
      <c r="E18">
        <v>25</v>
      </c>
      <c r="G18" s="4" t="s">
        <v>28</v>
      </c>
      <c r="H18" s="1">
        <v>44</v>
      </c>
      <c r="J18" s="4" t="s">
        <v>28</v>
      </c>
      <c r="K18" s="1">
        <v>5.4</v>
      </c>
    </row>
    <row r="19" spans="1:11" x14ac:dyDescent="0.35">
      <c r="D19" s="4" t="s">
        <v>29</v>
      </c>
      <c r="E19">
        <v>38</v>
      </c>
      <c r="G19" s="4" t="s">
        <v>29</v>
      </c>
      <c r="H19" s="1">
        <v>38.913043478260867</v>
      </c>
      <c r="J19" s="4" t="s">
        <v>29</v>
      </c>
      <c r="K19" s="1">
        <v>5.375</v>
      </c>
    </row>
    <row r="20" spans="1:11" x14ac:dyDescent="0.35">
      <c r="D20" s="4" t="s">
        <v>30</v>
      </c>
      <c r="E20">
        <v>27</v>
      </c>
      <c r="G20" s="4" t="s">
        <v>30</v>
      </c>
      <c r="H20" s="1">
        <v>31</v>
      </c>
      <c r="J20" s="4" t="s">
        <v>30</v>
      </c>
      <c r="K20" s="1">
        <v>3.3333333333333335</v>
      </c>
    </row>
    <row r="21" spans="1:11" x14ac:dyDescent="0.35">
      <c r="D21" s="4" t="s">
        <v>31</v>
      </c>
      <c r="E21">
        <v>37</v>
      </c>
      <c r="G21" s="4" t="s">
        <v>31</v>
      </c>
      <c r="H21" s="1">
        <v>34.227272727272727</v>
      </c>
      <c r="J21" s="4" t="s">
        <v>31</v>
      </c>
      <c r="K21" s="1">
        <v>6.2</v>
      </c>
    </row>
    <row r="22" spans="1:11" x14ac:dyDescent="0.35">
      <c r="D22" s="4" t="s">
        <v>32</v>
      </c>
      <c r="E22">
        <v>33</v>
      </c>
      <c r="G22" s="4" t="s">
        <v>32</v>
      </c>
      <c r="H22" s="1">
        <v>31</v>
      </c>
      <c r="J22" s="4" t="s">
        <v>32</v>
      </c>
      <c r="K22" s="1">
        <v>1.6666666666666667</v>
      </c>
    </row>
    <row r="23" spans="1:11" x14ac:dyDescent="0.35">
      <c r="D23" s="4" t="s">
        <v>33</v>
      </c>
      <c r="E23">
        <v>23</v>
      </c>
      <c r="G23" s="4" t="s">
        <v>33</v>
      </c>
      <c r="H23" s="1">
        <v>32.153846153846153</v>
      </c>
      <c r="J23" s="4" t="s">
        <v>33</v>
      </c>
      <c r="K23" s="1">
        <v>4.5</v>
      </c>
    </row>
    <row r="24" spans="1:11" x14ac:dyDescent="0.35">
      <c r="D24" s="4" t="s">
        <v>34</v>
      </c>
      <c r="E24">
        <v>27</v>
      </c>
      <c r="G24" s="4" t="s">
        <v>34</v>
      </c>
      <c r="H24" s="1">
        <v>32.785714285714285</v>
      </c>
      <c r="J24" s="4" t="s">
        <v>34</v>
      </c>
      <c r="K24" s="1">
        <v>7.666666666666667</v>
      </c>
    </row>
    <row r="25" spans="1:11" x14ac:dyDescent="0.35">
      <c r="D25" s="4" t="s">
        <v>35</v>
      </c>
      <c r="E25">
        <v>29</v>
      </c>
      <c r="G25" s="4" t="s">
        <v>35</v>
      </c>
      <c r="H25" s="1">
        <v>30</v>
      </c>
      <c r="J25" s="4" t="s">
        <v>35</v>
      </c>
      <c r="K25" s="1">
        <v>4.4000000000000004</v>
      </c>
    </row>
    <row r="26" spans="1:11" x14ac:dyDescent="0.35">
      <c r="D26" s="4" t="s">
        <v>36</v>
      </c>
      <c r="E26">
        <v>38</v>
      </c>
      <c r="G26" s="4" t="s">
        <v>36</v>
      </c>
      <c r="H26" s="1">
        <v>33.5</v>
      </c>
      <c r="J26" s="4" t="s">
        <v>36</v>
      </c>
      <c r="K26" s="1">
        <v>6.5</v>
      </c>
    </row>
    <row r="27" spans="1:11" x14ac:dyDescent="0.35">
      <c r="D27" s="4" t="s">
        <v>37</v>
      </c>
      <c r="E27">
        <v>28</v>
      </c>
      <c r="G27" s="4" t="s">
        <v>37</v>
      </c>
      <c r="H27" s="1">
        <v>32.950000000000003</v>
      </c>
      <c r="J27" s="4" t="s">
        <v>37</v>
      </c>
      <c r="K27" s="1">
        <v>5</v>
      </c>
    </row>
    <row r="28" spans="1:11" x14ac:dyDescent="0.35">
      <c r="D28" s="4" t="s">
        <v>38</v>
      </c>
      <c r="E28">
        <v>36</v>
      </c>
      <c r="G28" s="4" t="s">
        <v>38</v>
      </c>
      <c r="H28" s="1">
        <v>35.842105263157897</v>
      </c>
      <c r="J28" s="4" t="s">
        <v>38</v>
      </c>
      <c r="K28" s="1">
        <v>5.25</v>
      </c>
    </row>
    <row r="29" spans="1:11" x14ac:dyDescent="0.35">
      <c r="D29" s="4" t="s">
        <v>39</v>
      </c>
      <c r="E29">
        <v>31</v>
      </c>
      <c r="G29" s="4" t="s">
        <v>39</v>
      </c>
      <c r="H29" s="1">
        <v>33.846153846153847</v>
      </c>
      <c r="J29" s="4" t="s">
        <v>39</v>
      </c>
      <c r="K29" s="1">
        <v>4.75</v>
      </c>
    </row>
    <row r="30" spans="1:11" x14ac:dyDescent="0.35">
      <c r="D30" s="4" t="s">
        <v>40</v>
      </c>
      <c r="E30">
        <v>34</v>
      </c>
      <c r="G30" s="4" t="s">
        <v>40</v>
      </c>
      <c r="H30" s="1">
        <v>39.06666666666667</v>
      </c>
      <c r="J30" s="4" t="s">
        <v>40</v>
      </c>
      <c r="K30" s="1">
        <v>5</v>
      </c>
    </row>
    <row r="31" spans="1:11" x14ac:dyDescent="0.35">
      <c r="D31" s="4" t="s">
        <v>41</v>
      </c>
      <c r="E31">
        <v>39</v>
      </c>
      <c r="G31" s="4" t="s">
        <v>41</v>
      </c>
      <c r="H31" s="1">
        <v>36.684210526315788</v>
      </c>
      <c r="J31" s="4" t="s">
        <v>41</v>
      </c>
      <c r="K31" s="1">
        <v>4</v>
      </c>
    </row>
    <row r="32" spans="1:11" x14ac:dyDescent="0.35">
      <c r="D32" s="4" t="s">
        <v>42</v>
      </c>
      <c r="E32">
        <v>40</v>
      </c>
      <c r="G32" s="4" t="s">
        <v>42</v>
      </c>
      <c r="H32" s="1">
        <v>33.764705882352942</v>
      </c>
      <c r="J32" s="4" t="s">
        <v>42</v>
      </c>
      <c r="K32" s="1">
        <v>5.333333333333333</v>
      </c>
    </row>
    <row r="33" spans="1:11" x14ac:dyDescent="0.35">
      <c r="D33" s="4" t="s">
        <v>43</v>
      </c>
      <c r="E33">
        <v>31</v>
      </c>
      <c r="G33" s="4" t="s">
        <v>43</v>
      </c>
      <c r="H33" s="1">
        <v>34.533333333333331</v>
      </c>
      <c r="J33" s="4" t="s">
        <v>43</v>
      </c>
      <c r="K33" s="1">
        <v>6</v>
      </c>
    </row>
    <row r="34" spans="1:11" x14ac:dyDescent="0.35">
      <c r="D34" s="4" t="s">
        <v>44</v>
      </c>
      <c r="E34">
        <v>28</v>
      </c>
      <c r="G34" s="4" t="s">
        <v>44</v>
      </c>
      <c r="H34" s="1">
        <v>42.125</v>
      </c>
      <c r="J34" s="4" t="s">
        <v>44</v>
      </c>
      <c r="K34" s="1">
        <v>6.333333333333333</v>
      </c>
    </row>
    <row r="35" spans="1:11" x14ac:dyDescent="0.35">
      <c r="D35" s="4" t="s">
        <v>5</v>
      </c>
      <c r="E35">
        <v>991</v>
      </c>
      <c r="G35" s="4" t="s">
        <v>5</v>
      </c>
      <c r="H35" s="1">
        <v>35.507216494845359</v>
      </c>
      <c r="J35" s="4" t="s">
        <v>5</v>
      </c>
      <c r="K35" s="1">
        <v>4.7092198581560281</v>
      </c>
    </row>
    <row r="38" spans="1:11" ht="15.5" x14ac:dyDescent="0.35">
      <c r="A38" s="3" t="s">
        <v>4</v>
      </c>
      <c r="B38" t="s">
        <v>9</v>
      </c>
      <c r="C38" t="s">
        <v>12</v>
      </c>
      <c r="G38" s="15" t="s">
        <v>58</v>
      </c>
      <c r="H38" s="15"/>
      <c r="J38" s="14" t="s">
        <v>62</v>
      </c>
      <c r="K38" s="14"/>
    </row>
    <row r="39" spans="1:11" x14ac:dyDescent="0.35">
      <c r="A39" s="4" t="s">
        <v>10</v>
      </c>
      <c r="B39" s="6">
        <v>235</v>
      </c>
      <c r="C39" s="5">
        <v>0.4845360824742268</v>
      </c>
      <c r="G39" s="3" t="s">
        <v>4</v>
      </c>
      <c r="H39" t="s">
        <v>57</v>
      </c>
      <c r="J39" s="3" t="s">
        <v>4</v>
      </c>
      <c r="K39" t="s">
        <v>59</v>
      </c>
    </row>
    <row r="40" spans="1:11" x14ac:dyDescent="0.35">
      <c r="A40" s="4" t="s">
        <v>11</v>
      </c>
      <c r="B40" s="6">
        <v>250</v>
      </c>
      <c r="C40" s="5">
        <v>0.51546391752577314</v>
      </c>
      <c r="G40" s="4" t="s">
        <v>55</v>
      </c>
      <c r="H40" s="6">
        <v>297</v>
      </c>
      <c r="J40" s="4" t="s">
        <v>60</v>
      </c>
      <c r="K40" s="1">
        <v>239</v>
      </c>
    </row>
    <row r="41" spans="1:11" x14ac:dyDescent="0.35">
      <c r="A41" s="4" t="s">
        <v>5</v>
      </c>
      <c r="B41" s="1">
        <v>485</v>
      </c>
      <c r="C41" s="5">
        <v>1</v>
      </c>
      <c r="G41" s="4" t="s">
        <v>56</v>
      </c>
      <c r="H41" s="6">
        <v>188</v>
      </c>
      <c r="J41" s="4" t="s">
        <v>61</v>
      </c>
      <c r="K41" s="1">
        <v>246</v>
      </c>
    </row>
    <row r="42" spans="1:11" x14ac:dyDescent="0.35">
      <c r="G42" s="4" t="s">
        <v>5</v>
      </c>
      <c r="H42" s="1">
        <v>485</v>
      </c>
      <c r="J42" s="4" t="s">
        <v>5</v>
      </c>
      <c r="K42" s="1">
        <v>485</v>
      </c>
    </row>
    <row r="43" spans="1:11" x14ac:dyDescent="0.35">
      <c r="A43" s="9" t="s">
        <v>13</v>
      </c>
      <c r="B43" s="8" t="s">
        <v>1</v>
      </c>
      <c r="C43" s="7" t="s">
        <v>14</v>
      </c>
      <c r="D43" s="7"/>
    </row>
    <row r="44" spans="1:11" x14ac:dyDescent="0.35">
      <c r="A44" s="10" t="str" cm="1">
        <f t="array" ref="A44:C44">A40:C40</f>
        <v>Not Admitted</v>
      </c>
      <c r="B44" s="11">
        <v>250</v>
      </c>
      <c r="C44" s="12">
        <v>0.51546391752577314</v>
      </c>
      <c r="D44" s="11"/>
    </row>
    <row r="45" spans="1:11" x14ac:dyDescent="0.35">
      <c r="A45" s="10" t="str" cm="1">
        <f t="array" ref="A45:C45">A39:C39</f>
        <v>Admitted</v>
      </c>
      <c r="B45" s="11">
        <v>235</v>
      </c>
      <c r="C45" s="12">
        <v>0.4845360824742268</v>
      </c>
      <c r="D45" s="11"/>
    </row>
    <row r="47" spans="1:11" x14ac:dyDescent="0.35">
      <c r="A47" s="14" t="s">
        <v>54</v>
      </c>
      <c r="B47" s="14"/>
      <c r="C47" s="14"/>
      <c r="D47" s="14"/>
    </row>
    <row r="48" spans="1:11" x14ac:dyDescent="0.35">
      <c r="A48" s="3" t="s">
        <v>4</v>
      </c>
      <c r="B48" t="s">
        <v>53</v>
      </c>
    </row>
    <row r="49" spans="1:4" x14ac:dyDescent="0.35">
      <c r="A49" s="4" t="s">
        <v>45</v>
      </c>
      <c r="B49" s="6">
        <v>59</v>
      </c>
    </row>
    <row r="50" spans="1:4" x14ac:dyDescent="0.35">
      <c r="A50" s="4" t="s">
        <v>46</v>
      </c>
      <c r="B50" s="6">
        <v>55</v>
      </c>
    </row>
    <row r="51" spans="1:4" x14ac:dyDescent="0.35">
      <c r="A51" s="4" t="s">
        <v>47</v>
      </c>
      <c r="B51" s="6">
        <v>69</v>
      </c>
    </row>
    <row r="52" spans="1:4" x14ac:dyDescent="0.35">
      <c r="A52" s="4" t="s">
        <v>48</v>
      </c>
      <c r="B52" s="6">
        <v>64</v>
      </c>
    </row>
    <row r="53" spans="1:4" x14ac:dyDescent="0.35">
      <c r="A53" s="4" t="s">
        <v>49</v>
      </c>
      <c r="B53" s="6">
        <v>56</v>
      </c>
    </row>
    <row r="54" spans="1:4" x14ac:dyDescent="0.35">
      <c r="A54" s="4" t="s">
        <v>50</v>
      </c>
      <c r="B54" s="6">
        <v>60</v>
      </c>
    </row>
    <row r="55" spans="1:4" x14ac:dyDescent="0.35">
      <c r="A55" s="4" t="s">
        <v>51</v>
      </c>
      <c r="B55" s="6">
        <v>51</v>
      </c>
    </row>
    <row r="56" spans="1:4" x14ac:dyDescent="0.35">
      <c r="A56" s="4" t="s">
        <v>52</v>
      </c>
      <c r="B56" s="6">
        <v>71</v>
      </c>
    </row>
    <row r="57" spans="1:4" x14ac:dyDescent="0.35">
      <c r="A57" s="4" t="s">
        <v>5</v>
      </c>
      <c r="B57" s="1">
        <v>485</v>
      </c>
    </row>
    <row r="59" spans="1:4" x14ac:dyDescent="0.35">
      <c r="A59" s="13" t="s">
        <v>72</v>
      </c>
      <c r="B59" s="13"/>
      <c r="C59" s="13"/>
      <c r="D59" s="13"/>
    </row>
    <row r="60" spans="1:4" x14ac:dyDescent="0.35">
      <c r="A60" s="3" t="s">
        <v>4</v>
      </c>
      <c r="B60" t="s">
        <v>71</v>
      </c>
    </row>
    <row r="61" spans="1:4" x14ac:dyDescent="0.35">
      <c r="A61" s="4" t="s">
        <v>70</v>
      </c>
      <c r="B61" s="6">
        <v>2</v>
      </c>
    </row>
    <row r="62" spans="1:4" x14ac:dyDescent="0.35">
      <c r="A62" s="4" t="s">
        <v>69</v>
      </c>
      <c r="B62" s="6">
        <v>11</v>
      </c>
    </row>
    <row r="63" spans="1:4" x14ac:dyDescent="0.35">
      <c r="A63" s="4" t="s">
        <v>66</v>
      </c>
      <c r="B63" s="6">
        <v>12</v>
      </c>
    </row>
    <row r="64" spans="1:4" x14ac:dyDescent="0.35">
      <c r="A64" s="4" t="s">
        <v>64</v>
      </c>
      <c r="B64" s="6">
        <v>12</v>
      </c>
    </row>
    <row r="65" spans="1:2" x14ac:dyDescent="0.35">
      <c r="A65" s="4" t="s">
        <v>63</v>
      </c>
      <c r="B65" s="6">
        <v>13</v>
      </c>
    </row>
    <row r="66" spans="1:2" x14ac:dyDescent="0.35">
      <c r="A66" s="4" t="s">
        <v>68</v>
      </c>
      <c r="B66" s="6">
        <v>53</v>
      </c>
    </row>
    <row r="67" spans="1:2" x14ac:dyDescent="0.35">
      <c r="A67" s="4" t="s">
        <v>65</v>
      </c>
      <c r="B67" s="6">
        <v>91</v>
      </c>
    </row>
    <row r="68" spans="1:2" x14ac:dyDescent="0.35">
      <c r="A68" s="4" t="s">
        <v>67</v>
      </c>
      <c r="B68" s="6">
        <v>291</v>
      </c>
    </row>
    <row r="69" spans="1:2" x14ac:dyDescent="0.35">
      <c r="A69" s="4" t="s">
        <v>5</v>
      </c>
      <c r="B69" s="1">
        <v>485</v>
      </c>
    </row>
  </sheetData>
  <mergeCells count="8">
    <mergeCell ref="A59:D59"/>
    <mergeCell ref="A14:B14"/>
    <mergeCell ref="D3:E3"/>
    <mergeCell ref="G3:H3"/>
    <mergeCell ref="J3:K3"/>
    <mergeCell ref="A47:D47"/>
    <mergeCell ref="G38:H38"/>
    <mergeCell ref="J38:K38"/>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0987-A8B1-4ABE-8FA6-87C3672CB39F}">
  <dimension ref="A1:K11"/>
  <sheetViews>
    <sheetView tabSelected="1" zoomScale="174" zoomScaleNormal="174" workbookViewId="0"/>
  </sheetViews>
  <sheetFormatPr defaultRowHeight="14.5" x14ac:dyDescent="0.35"/>
  <sheetData>
    <row r="1" spans="1:11" x14ac:dyDescent="0.35">
      <c r="A1" s="2"/>
      <c r="B1" s="2"/>
      <c r="C1" s="2"/>
      <c r="D1" s="2"/>
      <c r="E1" s="2"/>
      <c r="F1" s="2"/>
      <c r="G1" s="2"/>
      <c r="H1" s="2"/>
      <c r="I1" s="2"/>
      <c r="J1" s="2"/>
      <c r="K1" s="2"/>
    </row>
    <row r="2" spans="1:11" x14ac:dyDescent="0.35">
      <c r="A2" s="2"/>
      <c r="B2" s="2"/>
      <c r="C2" s="2"/>
      <c r="D2" s="2"/>
      <c r="E2" s="2"/>
      <c r="F2" s="2"/>
      <c r="G2" s="2"/>
      <c r="H2" s="2"/>
      <c r="I2" s="2"/>
      <c r="J2" s="2"/>
      <c r="K2" s="2"/>
    </row>
    <row r="3" spans="1:11" x14ac:dyDescent="0.35">
      <c r="A3" s="2"/>
      <c r="B3" s="2"/>
      <c r="C3" s="2"/>
      <c r="D3" s="2"/>
      <c r="E3" s="2"/>
      <c r="F3" s="2"/>
      <c r="G3" s="2"/>
      <c r="H3" s="2"/>
      <c r="I3" s="2"/>
      <c r="J3" s="2"/>
      <c r="K3" s="2"/>
    </row>
    <row r="4" spans="1:11" x14ac:dyDescent="0.35">
      <c r="A4" s="2"/>
      <c r="B4" s="2"/>
      <c r="C4" s="2"/>
      <c r="D4" s="2"/>
      <c r="E4" s="2"/>
      <c r="F4" s="2"/>
      <c r="G4" s="2"/>
      <c r="H4" s="2"/>
      <c r="I4" s="2"/>
      <c r="J4" s="2"/>
      <c r="K4" s="2"/>
    </row>
    <row r="5" spans="1:11" x14ac:dyDescent="0.35">
      <c r="A5" s="2"/>
      <c r="B5" s="2"/>
      <c r="C5" s="2"/>
      <c r="D5" s="2"/>
      <c r="E5" s="2"/>
      <c r="F5" s="2"/>
      <c r="G5" s="2"/>
      <c r="H5" s="2"/>
      <c r="I5" s="2"/>
      <c r="J5" s="2"/>
      <c r="K5" s="2"/>
    </row>
    <row r="6" spans="1:11" x14ac:dyDescent="0.35">
      <c r="A6" s="2"/>
      <c r="B6" s="2"/>
      <c r="C6" s="2"/>
      <c r="D6" s="2"/>
      <c r="E6" s="2"/>
      <c r="F6" s="2"/>
      <c r="G6" s="2"/>
      <c r="H6" s="2"/>
      <c r="I6" s="2"/>
      <c r="J6" s="2"/>
      <c r="K6" s="2"/>
    </row>
    <row r="7" spans="1:11" x14ac:dyDescent="0.35">
      <c r="A7" s="2"/>
      <c r="B7" s="2"/>
      <c r="C7" s="2"/>
      <c r="D7" s="2"/>
      <c r="E7" s="2"/>
      <c r="F7" s="2"/>
      <c r="G7" s="2"/>
      <c r="H7" s="2"/>
      <c r="I7" s="2"/>
      <c r="J7" s="2"/>
      <c r="K7" s="2"/>
    </row>
    <row r="8" spans="1:11" x14ac:dyDescent="0.35">
      <c r="A8" s="2"/>
      <c r="B8" s="2"/>
      <c r="C8" s="2"/>
      <c r="D8" s="2"/>
      <c r="E8" s="2"/>
      <c r="F8" s="2"/>
      <c r="G8" s="2"/>
      <c r="H8" s="2"/>
      <c r="I8" s="2"/>
      <c r="J8" s="2"/>
      <c r="K8" s="2"/>
    </row>
    <row r="9" spans="1:11" x14ac:dyDescent="0.35">
      <c r="A9" s="2"/>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2"/>
      <c r="B11" s="2"/>
      <c r="C11" s="2"/>
      <c r="D11" s="2"/>
      <c r="E11" s="2"/>
      <c r="F11" s="2"/>
      <c r="G11" s="2"/>
      <c r="H11" s="2"/>
      <c r="I11" s="2"/>
      <c r="J11" s="2"/>
      <c r="K11"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9DAA-4493-4FF0-98F4-AE5C4EF50134}">
  <dimension ref="A1"/>
  <sheetViews>
    <sheetView zoomScale="156" zoomScaleNormal="156"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A7E3-A2F1-457C-ABD1-4877607660FA}">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CE20-A585-4B92-A8D3-0AB723DEEA95}">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9AA0515-AC7F-4057-9473-C2F862C93A9A}">
  <ds:schemaRefs/>
</ds:datastoreItem>
</file>

<file path=customXml/itemProps2.xml><?xml version="1.0" encoding="utf-8"?>
<ds:datastoreItem xmlns:ds="http://schemas.openxmlformats.org/officeDocument/2006/customXml" ds:itemID="{86AB8844-ED65-465D-A12C-EAD8AE391F8B}">
  <ds:schemaRefs/>
</ds:datastoreItem>
</file>

<file path=customXml/itemProps3.xml><?xml version="1.0" encoding="utf-8"?>
<ds:datastoreItem xmlns:ds="http://schemas.openxmlformats.org/officeDocument/2006/customXml" ds:itemID="{210DB0E1-0BC6-46CF-92F3-D2341F973C3C}">
  <ds:schemaRefs/>
</ds:datastoreItem>
</file>

<file path=customXml/itemProps4.xml><?xml version="1.0" encoding="utf-8"?>
<ds:datastoreItem xmlns:ds="http://schemas.openxmlformats.org/officeDocument/2006/customXml" ds:itemID="{C5F82992-499C-4259-A1F3-3DB540A0A950}">
  <ds:schemaRefs/>
</ds:datastoreItem>
</file>

<file path=customXml/itemProps5.xml><?xml version="1.0" encoding="utf-8"?>
<ds:datastoreItem xmlns:ds="http://schemas.openxmlformats.org/officeDocument/2006/customXml" ds:itemID="{0CAB4C9A-DE66-48EA-8A85-C0A1EB4403A6}">
  <ds:schemaRefs>
    <ds:schemaRef ds:uri="http://schemas.microsoft.com/DataMashup"/>
  </ds:schemaRefs>
</ds:datastoreItem>
</file>

<file path=customXml/itemProps6.xml><?xml version="1.0" encoding="utf-8"?>
<ds:datastoreItem xmlns:ds="http://schemas.openxmlformats.org/officeDocument/2006/customXml" ds:itemID="{61896400-06ED-4BAA-B6C5-F58604566A7A}">
  <ds:schemaRefs/>
</ds:datastoreItem>
</file>

<file path=customXml/itemProps7.xml><?xml version="1.0" encoding="utf-8"?>
<ds:datastoreItem xmlns:ds="http://schemas.openxmlformats.org/officeDocument/2006/customXml" ds:itemID="{51AA9617-E298-4314-A5C3-F785B8B74268}">
  <ds:schemaRefs/>
</ds:datastoreItem>
</file>

<file path=customXml/itemProps8.xml><?xml version="1.0" encoding="utf-8"?>
<ds:datastoreItem xmlns:ds="http://schemas.openxmlformats.org/officeDocument/2006/customXml" ds:itemID="{4EB503F8-E39D-45DA-8FE2-B9F775F65D6F}">
  <ds:schemaRefs/>
</ds:datastoreItem>
</file>

<file path=customXml/itemProps9.xml><?xml version="1.0" encoding="utf-8"?>
<ds:datastoreItem xmlns:ds="http://schemas.openxmlformats.org/officeDocument/2006/customXml" ds:itemID="{A3E41125-D5C4-41C7-93B5-B0C41BFA7888}">
  <ds:schemaRefs/>
</ds:datastoreItem>
</file>

<file path=customXml/itemProps10.xml><?xml version="1.0" encoding="utf-8"?>
<ds:datastoreItem xmlns:ds="http://schemas.openxmlformats.org/officeDocument/2006/customXml" ds:itemID="{7A646EC3-CD0B-4FFA-A4A8-881B46A12E60}">
  <ds:schemaRefs/>
</ds:datastoreItem>
</file>

<file path=customXml/itemProps11.xml><?xml version="1.0" encoding="utf-8"?>
<ds:datastoreItem xmlns:ds="http://schemas.openxmlformats.org/officeDocument/2006/customXml" ds:itemID="{A823ACF1-AC99-4060-8F16-FBE1D6726ACD}">
  <ds:schemaRefs/>
</ds:datastoreItem>
</file>

<file path=customXml/itemProps12.xml><?xml version="1.0" encoding="utf-8"?>
<ds:datastoreItem xmlns:ds="http://schemas.openxmlformats.org/officeDocument/2006/customXml" ds:itemID="{D4D4DE43-5429-43B9-A3B9-A6C55308EA08}">
  <ds:schemaRefs/>
</ds:datastoreItem>
</file>

<file path=customXml/itemProps13.xml><?xml version="1.0" encoding="utf-8"?>
<ds:datastoreItem xmlns:ds="http://schemas.openxmlformats.org/officeDocument/2006/customXml" ds:itemID="{20F7AE4D-ED4D-4132-87D6-D68664EAC6B3}">
  <ds:schemaRefs/>
</ds:datastoreItem>
</file>

<file path=customXml/itemProps14.xml><?xml version="1.0" encoding="utf-8"?>
<ds:datastoreItem xmlns:ds="http://schemas.openxmlformats.org/officeDocument/2006/customXml" ds:itemID="{5971DDDA-A098-4ED1-BB5F-EA08A52C53DC}">
  <ds:schemaRefs/>
</ds:datastoreItem>
</file>

<file path=customXml/itemProps15.xml><?xml version="1.0" encoding="utf-8"?>
<ds:datastoreItem xmlns:ds="http://schemas.openxmlformats.org/officeDocument/2006/customXml" ds:itemID="{70BBE71A-DAF9-4A9F-BE3E-79F4D9E93730}">
  <ds:schemaRefs/>
</ds:datastoreItem>
</file>

<file path=customXml/itemProps16.xml><?xml version="1.0" encoding="utf-8"?>
<ds:datastoreItem xmlns:ds="http://schemas.openxmlformats.org/officeDocument/2006/customXml" ds:itemID="{A3CD68D8-384E-4DE8-977E-C02F0744DDE5}">
  <ds:schemaRefs/>
</ds:datastoreItem>
</file>

<file path=customXml/itemProps17.xml><?xml version="1.0" encoding="utf-8"?>
<ds:datastoreItem xmlns:ds="http://schemas.openxmlformats.org/officeDocument/2006/customXml" ds:itemID="{1DEAB82F-8283-4463-AE2A-E6C6EDF959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Trend of ER Room Daily Patient </vt:lpstr>
      <vt:lpstr>Average of Patient Wait Time</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bhatiaveeshakha@gmail.com</dc:creator>
  <cp:lastModifiedBy>bhatiaveeshakha@gmail.com</cp:lastModifiedBy>
  <dcterms:created xsi:type="dcterms:W3CDTF">2026-06-27T05:46:34Z</dcterms:created>
  <dcterms:modified xsi:type="dcterms:W3CDTF">2026-07-03T07:56:34Z</dcterms:modified>
</cp:coreProperties>
</file>